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VRIN\Downloads\"/>
    </mc:Choice>
  </mc:AlternateContent>
  <xr:revisionPtr revIDLastSave="0" documentId="13_ncr:1_{A2BCCD23-CCAA-4A3F-AF8D-138023239395}" xr6:coauthVersionLast="47" xr6:coauthVersionMax="47" xr10:uidLastSave="{00000000-0000-0000-0000-000000000000}"/>
  <bookViews>
    <workbookView xWindow="-108" yWindow="-108" windowWidth="23256" windowHeight="12456" xr2:uid="{B61DD58E-A17B-431A-AE0A-784DE30D99C5}"/>
  </bookViews>
  <sheets>
    <sheet name="2025 SERVICEABLE" sheetId="1" r:id="rId1"/>
    <sheet name="2024 UNSERVICEABLE" sheetId="2" r:id="rId2"/>
  </sheets>
  <definedNames>
    <definedName name="_xlnm._FilterDatabase" localSheetId="1" hidden="1">'2024 UNSERVICEABLE'!$A$9:$K$220</definedName>
    <definedName name="_xlnm._FilterDatabase" localSheetId="0" hidden="1">'2025 SERVICEABLE'!$A$11:$I$200</definedName>
    <definedName name="_xlnm.Print_Area" localSheetId="1">'2024 UNSERVICEABLE'!$A$1:$K$220</definedName>
    <definedName name="_xlnm.Print_Area" localSheetId="0">'2025 SERVICEABLE'!$A$1:$I$200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" i="2" l="1"/>
  <c r="J217" i="2"/>
  <c r="J216" i="2"/>
  <c r="J215" i="2"/>
  <c r="J214" i="2"/>
  <c r="J213" i="2"/>
  <c r="J211" i="2"/>
  <c r="J210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6" i="2"/>
  <c r="J195" i="2"/>
  <c r="J194" i="2"/>
  <c r="J193" i="2"/>
  <c r="J191" i="2"/>
  <c r="J190" i="2"/>
  <c r="J189" i="2"/>
  <c r="J188" i="2"/>
  <c r="I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I174" i="2"/>
  <c r="J174" i="2" s="1"/>
  <c r="J173" i="2"/>
  <c r="J172" i="2"/>
  <c r="J171" i="2"/>
  <c r="J170" i="2"/>
  <c r="J169" i="2"/>
  <c r="J168" i="2"/>
  <c r="J167" i="2"/>
  <c r="J166" i="2"/>
  <c r="J165" i="2"/>
  <c r="J164" i="2"/>
  <c r="J163" i="2"/>
  <c r="J161" i="2"/>
  <c r="J160" i="2"/>
  <c r="J159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H198" i="1"/>
  <c r="H197" i="1"/>
  <c r="H196" i="1"/>
  <c r="H195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5" i="1"/>
  <c r="H174" i="1"/>
  <c r="H176" i="1" s="1"/>
  <c r="H172" i="1"/>
  <c r="H171" i="1"/>
  <c r="H170" i="1"/>
  <c r="H169" i="1"/>
  <c r="H168" i="1"/>
  <c r="H167" i="1"/>
  <c r="H166" i="1"/>
  <c r="H165" i="1"/>
  <c r="H164" i="1"/>
  <c r="H163" i="1"/>
  <c r="H162" i="1"/>
  <c r="H159" i="1"/>
  <c r="H158" i="1"/>
  <c r="H157" i="1"/>
  <c r="H156" i="1"/>
  <c r="H155" i="1"/>
  <c r="H154" i="1"/>
  <c r="H153" i="1"/>
  <c r="H152" i="1"/>
  <c r="H151" i="1"/>
  <c r="H150" i="1"/>
  <c r="H149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4" i="1"/>
  <c r="H113" i="1"/>
  <c r="H112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8" i="1"/>
  <c r="H47" i="1"/>
  <c r="H46" i="1"/>
  <c r="H45" i="1"/>
  <c r="H44" i="1"/>
  <c r="H43" i="1"/>
  <c r="H42" i="1"/>
  <c r="H41" i="1"/>
  <c r="H39" i="1"/>
  <c r="H38" i="1"/>
  <c r="H37" i="1"/>
  <c r="G36" i="1"/>
  <c r="H36" i="1" s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5" i="1" l="1"/>
  <c r="J81" i="2"/>
  <c r="H194" i="1"/>
  <c r="J192" i="2"/>
  <c r="J212" i="2"/>
  <c r="J162" i="2"/>
  <c r="J113" i="2"/>
  <c r="J203" i="2"/>
  <c r="J158" i="2"/>
  <c r="J219" i="2"/>
  <c r="J183" i="2"/>
  <c r="H49" i="1"/>
  <c r="H173" i="1"/>
  <c r="H148" i="1"/>
  <c r="H160" i="1"/>
  <c r="H181" i="1"/>
  <c r="H40" i="1"/>
  <c r="H111" i="1"/>
  <c r="H199" i="1"/>
  <c r="J220" i="2" l="1"/>
  <c r="H2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0" authorId="0" shapeId="0" xr:uid="{E894C15F-918F-4A43-984F-3AD3986E2315}">
      <text>
        <r>
          <rPr>
            <sz val="11"/>
            <color theme="1"/>
            <rFont val="Calibri"/>
            <scheme val="minor"/>
          </rPr>
          <t>======
ID#AAAB1-YMqH8
Reina    (2026-03-17 00:50:06)
700 unserviceable</t>
        </r>
      </text>
    </comment>
    <comment ref="I217" authorId="0" shapeId="0" xr:uid="{B73F1098-FC80-4CDA-A4E6-9DD854BBA4AE}">
      <text>
        <r>
          <rPr>
            <sz val="11"/>
            <color theme="1"/>
            <rFont val="Calibri"/>
            <scheme val="minor"/>
          </rPr>
          <t>======
ID#AAAB1-YMqIE
acer    (2026-03-17 00:50:06)
14,850 dropped from the record</t>
        </r>
      </text>
    </comment>
  </commentList>
</comments>
</file>

<file path=xl/sharedStrings.xml><?xml version="1.0" encoding="utf-8"?>
<sst xmlns="http://schemas.openxmlformats.org/spreadsheetml/2006/main" count="1864" uniqueCount="837">
  <si>
    <t>as of December 31, 2025</t>
  </si>
  <si>
    <t>QTY.</t>
  </si>
  <si>
    <t>UNIT</t>
  </si>
  <si>
    <t>ARTICLE DESCRIPTION</t>
  </si>
  <si>
    <t>CLASS</t>
  </si>
  <si>
    <t xml:space="preserve">DATE </t>
  </si>
  <si>
    <t>PROPERTY</t>
  </si>
  <si>
    <t>TOTAL</t>
  </si>
  <si>
    <t>OFFICE LOCATION</t>
  </si>
  <si>
    <t>CODE</t>
  </si>
  <si>
    <t>ACQUIRED</t>
  </si>
  <si>
    <t>NUMBER</t>
  </si>
  <si>
    <t>COST</t>
  </si>
  <si>
    <t>unit</t>
  </si>
  <si>
    <t xml:space="preserve">2.5hp split type aircon </t>
  </si>
  <si>
    <t>1-07-05-020</t>
  </si>
  <si>
    <t>ACCTNG2024-001</t>
  </si>
  <si>
    <t>Accounting</t>
  </si>
  <si>
    <t>units</t>
  </si>
  <si>
    <t>Split Type Aircon</t>
  </si>
  <si>
    <t>AGRI2022-02</t>
  </si>
  <si>
    <t>Agriculture</t>
  </si>
  <si>
    <t xml:space="preserve">unit </t>
  </si>
  <si>
    <t>Hitachi Window Type Aircon 2.5 hp</t>
  </si>
  <si>
    <t>ASS000002</t>
  </si>
  <si>
    <t>Assessor's</t>
  </si>
  <si>
    <t>Photocopier Machine</t>
  </si>
  <si>
    <t>MHO2200004</t>
  </si>
  <si>
    <t>Health</t>
  </si>
  <si>
    <t>FujifilM Apeos C2450 Copier</t>
  </si>
  <si>
    <t>MPDC2024-004</t>
  </si>
  <si>
    <t>MPDO</t>
  </si>
  <si>
    <t>Fujifilm camera XT-5</t>
  </si>
  <si>
    <t>MPDC2024-009</t>
  </si>
  <si>
    <t>Split type Aircon (panasonic)</t>
  </si>
  <si>
    <t>MSWD2024-01</t>
  </si>
  <si>
    <t>MSWDO</t>
  </si>
  <si>
    <t>Aircon - White Westinghouse</t>
  </si>
  <si>
    <t>MSWD000042</t>
  </si>
  <si>
    <t>Split Type Aircon-Fujidenzo, Heavy Duty Inverter</t>
  </si>
  <si>
    <t>MTO2022-03</t>
  </si>
  <si>
    <t>Treasury</t>
  </si>
  <si>
    <t>Samsung 98' Crystal UHD DU900 TV</t>
  </si>
  <si>
    <t>MAOB2025-01</t>
  </si>
  <si>
    <t xml:space="preserve">Sony Flat Screen </t>
  </si>
  <si>
    <t>OM000010</t>
  </si>
  <si>
    <t>Mayor's</t>
  </si>
  <si>
    <t>Amplifier with 2 Speakers</t>
  </si>
  <si>
    <t>OM000046</t>
  </si>
  <si>
    <t>Camera</t>
  </si>
  <si>
    <t>OM000058</t>
  </si>
  <si>
    <t xml:space="preserve">OM </t>
  </si>
  <si>
    <t>2 HP Aircon, Window Type</t>
  </si>
  <si>
    <t>OM000059</t>
  </si>
  <si>
    <t>OM</t>
  </si>
  <si>
    <t>KOLIN Floor Mounted Airconditioner</t>
  </si>
  <si>
    <t>OM00058-59</t>
  </si>
  <si>
    <t>Office of the Mayor</t>
  </si>
  <si>
    <t>Fuji Xerox Docucentre Photocpier s2011</t>
  </si>
  <si>
    <t>OM00064</t>
  </si>
  <si>
    <t>OM000073</t>
  </si>
  <si>
    <t>Nov. 2019</t>
  </si>
  <si>
    <t>SB 000063</t>
  </si>
  <si>
    <t>SB Office</t>
  </si>
  <si>
    <t>Mipro with wireless microphone</t>
  </si>
  <si>
    <t>2020</t>
  </si>
  <si>
    <t>SB2020-01</t>
  </si>
  <si>
    <t>SB</t>
  </si>
  <si>
    <t>Cabinet Type Aircon</t>
  </si>
  <si>
    <t>SB2020-03</t>
  </si>
  <si>
    <t>Overhead Projector</t>
  </si>
  <si>
    <t>March 2021</t>
  </si>
  <si>
    <t>SB2021-01</t>
  </si>
  <si>
    <t>Kolin Aircon Split type SN: 16051810-17833</t>
  </si>
  <si>
    <t>2021</t>
  </si>
  <si>
    <t>SB2021-07</t>
  </si>
  <si>
    <t>2 Hp, Window Type</t>
  </si>
  <si>
    <t>2022</t>
  </si>
  <si>
    <t>SB2022-02</t>
  </si>
  <si>
    <t>3 in 1 Photocopier</t>
  </si>
  <si>
    <t>OSHS0002</t>
  </si>
  <si>
    <t>Old Sudipen HS/F. Amoyen</t>
  </si>
  <si>
    <t>Drone Camera - DJI Phantom</t>
  </si>
  <si>
    <t>2016</t>
  </si>
  <si>
    <t>MBO000017</t>
  </si>
  <si>
    <t>Dixon Partible</t>
  </si>
  <si>
    <t>Everest Window Type Aircon</t>
  </si>
  <si>
    <t>MDR00081</t>
  </si>
  <si>
    <t>MDRRMO</t>
  </si>
  <si>
    <t>SUB-TOTAL FOR 1-07-05-020 (OFFICE EQUIPMENT)</t>
  </si>
  <si>
    <t>Wooden Filing Cabinet</t>
  </si>
  <si>
    <t>1-07-07-010</t>
  </si>
  <si>
    <t>AGRI2020-05</t>
  </si>
  <si>
    <t>pieces</t>
  </si>
  <si>
    <t>Filing Cabinet</t>
  </si>
  <si>
    <t>MPDC2024-012</t>
  </si>
  <si>
    <t>set</t>
  </si>
  <si>
    <t>side table/office table (1011)</t>
  </si>
  <si>
    <t>1 Custom Made Wall Cabinet</t>
  </si>
  <si>
    <t>MCR</t>
  </si>
  <si>
    <t>sala set (premium wood with center table, 1 long chair w/ armrest, 1 long chair without arm rest w/ cushion, with two side tables)</t>
  </si>
  <si>
    <t>Dec 2019</t>
  </si>
  <si>
    <t>OM0000028</t>
  </si>
  <si>
    <t>pc</t>
  </si>
  <si>
    <t>display cabinet (wood frame, glass, 4 levels)</t>
  </si>
  <si>
    <t>OM0000029</t>
  </si>
  <si>
    <t>Sala Set Premium Wood</t>
  </si>
  <si>
    <t>OM000066</t>
  </si>
  <si>
    <t>pcs</t>
  </si>
  <si>
    <t>Display Cabinet wood frame glass</t>
  </si>
  <si>
    <t>OM000067</t>
  </si>
  <si>
    <t>SUB-TOTAL FOR 1-07-07-010 (FURNITURES &amp; FIXTURES)</t>
  </si>
  <si>
    <t>ASUS Vivobook Pro , COREi9 Laptop</t>
  </si>
  <si>
    <t>1-07-05-030</t>
  </si>
  <si>
    <t>ACCTNG2025-01</t>
  </si>
  <si>
    <t>Desktop PC AMD Ryzen9 w/ L3210 Printer &amp; Motor Standing Desk</t>
  </si>
  <si>
    <t>ACCTNG2025-02</t>
  </si>
  <si>
    <t>ASUS Laptop</t>
  </si>
  <si>
    <t>ACCT000041</t>
  </si>
  <si>
    <t>UNITS</t>
  </si>
  <si>
    <t>MSI Laptop</t>
  </si>
  <si>
    <t>ACCT 000046</t>
  </si>
  <si>
    <t>software license for eNGAS</t>
  </si>
  <si>
    <t>ACCTNG2025-03</t>
  </si>
  <si>
    <t>MSI CYBORG 15 COREi7 DeSktop Computer with 2 L120 Printer</t>
  </si>
  <si>
    <t>AGRI2025-0001</t>
  </si>
  <si>
    <t>Dektop Computer with Printer and Table</t>
  </si>
  <si>
    <t>AGRI2021-01</t>
  </si>
  <si>
    <t>Laptop core i7</t>
  </si>
  <si>
    <t>AGRI2021-03</t>
  </si>
  <si>
    <t>Acer Nitro 5 Laptop</t>
  </si>
  <si>
    <t>AGRI2024-01</t>
  </si>
  <si>
    <t>Computer Desk Top Set (ACER)(Epson Printer/CPU)</t>
  </si>
  <si>
    <t>AGRI000027</t>
  </si>
  <si>
    <t>Printer Wifi Duplex All in One Tank</t>
  </si>
  <si>
    <t>AGRI 2022-01</t>
  </si>
  <si>
    <t>MSI Thin 15 B13UCX-2232PH Gamers, core i7</t>
  </si>
  <si>
    <t>AGRI2025-0002</t>
  </si>
  <si>
    <t>2010</t>
  </si>
  <si>
    <t>ASS000027</t>
  </si>
  <si>
    <t>Laptop-Acer</t>
  </si>
  <si>
    <t>ASS000029</t>
  </si>
  <si>
    <t>ASS000030</t>
  </si>
  <si>
    <t>Desktop Computer</t>
  </si>
  <si>
    <t>ASS2022-01</t>
  </si>
  <si>
    <t>Desktop Computer Server: AMD Ryzen 9 9950x16 cores 5.7 Ghz</t>
  </si>
  <si>
    <t>ASSE2024-01</t>
  </si>
  <si>
    <t>Desktop Computer Server: AMD Ryzen 5 9950x3.9 ghZ 6-CORE</t>
  </si>
  <si>
    <t>ASSE2024-02</t>
  </si>
  <si>
    <t>MBO000018</t>
  </si>
  <si>
    <t>MBO Lina Lagria</t>
  </si>
  <si>
    <t>ROG STRIX G17 Laptop</t>
  </si>
  <si>
    <t>MBO2024-01</t>
  </si>
  <si>
    <t>Budget</t>
  </si>
  <si>
    <t>ASUS VIVOBOOK PRO 15 LAPTOP</t>
  </si>
  <si>
    <t>MBO2024-02</t>
  </si>
  <si>
    <t>Asus vivobook S 15x</t>
  </si>
  <si>
    <t>MCR2024-0001</t>
  </si>
  <si>
    <t>Civil Registrar's</t>
  </si>
  <si>
    <t>Computer Desktop w/ printer</t>
  </si>
  <si>
    <t>MCR2022-0001</t>
  </si>
  <si>
    <t>Desktop Computer: AMD Ryzen 57500</t>
  </si>
  <si>
    <t>MENRO2024-01</t>
  </si>
  <si>
    <t>MENRO</t>
  </si>
  <si>
    <t>1 Computer set</t>
  </si>
  <si>
    <t>Edmundo P. Narcise</t>
  </si>
  <si>
    <t>Computer-Samsung Monitor ZRV9H9NB50082X</t>
  </si>
  <si>
    <t>MEO000013</t>
  </si>
  <si>
    <t>Engineering</t>
  </si>
  <si>
    <t>ROG STRIX G15 LAPTOP</t>
  </si>
  <si>
    <t>MDR2024-01</t>
  </si>
  <si>
    <t>PLDT Home DSL</t>
  </si>
  <si>
    <t>-</t>
  </si>
  <si>
    <t>MEO000009</t>
  </si>
  <si>
    <t>Desktop Computer w. table</t>
  </si>
  <si>
    <t>2018</t>
  </si>
  <si>
    <t>MEO000018</t>
  </si>
  <si>
    <t>2 units Desktop</t>
  </si>
  <si>
    <t>MEO000030</t>
  </si>
  <si>
    <t>Printer Wifi Duplex All in one tank</t>
  </si>
  <si>
    <t>MHO200001</t>
  </si>
  <si>
    <t>sets</t>
  </si>
  <si>
    <t>Desktop Computer for Electronic Medical Record System</t>
  </si>
  <si>
    <t>MHO2100001</t>
  </si>
  <si>
    <t>Asus Vivobook 15X Laptop</t>
  </si>
  <si>
    <t>MHO240001</t>
  </si>
  <si>
    <t>MSY Cyborg 15, core i5</t>
  </si>
  <si>
    <t>RHU-msi2025-01 - 03</t>
  </si>
  <si>
    <t>Laptop ACER</t>
  </si>
  <si>
    <t>MPDC000019</t>
  </si>
  <si>
    <t>Planning &amp; Development</t>
  </si>
  <si>
    <t>MPDC2024-001 to 003</t>
  </si>
  <si>
    <t>MPDC2024-005 to 007</t>
  </si>
  <si>
    <t>Server Computer</t>
  </si>
  <si>
    <t>MPDC2024-008</t>
  </si>
  <si>
    <t>Samsung Laptop 50Z391ND500126A</t>
  </si>
  <si>
    <t>MTO000032</t>
  </si>
  <si>
    <t>MTO2021-04</t>
  </si>
  <si>
    <t>Desktop Computer with CPU and AVR</t>
  </si>
  <si>
    <t>MTO2021-05</t>
  </si>
  <si>
    <t>Desktop Computer: AMD Ryzen 57500 W/ PRINTER, TABLE &amp; CHAIR</t>
  </si>
  <si>
    <t>MTO2024-01</t>
  </si>
  <si>
    <t>DESKTOP computer w printer &amp; Motor standing desk</t>
  </si>
  <si>
    <t>MAOB2025-02</t>
  </si>
  <si>
    <t>Desktop ComputeR</t>
  </si>
  <si>
    <t>OM2022-01</t>
  </si>
  <si>
    <t>TOURISM</t>
  </si>
  <si>
    <t>MSI Thin 15 B13UCX-2232PH Gamers</t>
  </si>
  <si>
    <t>TOUR2025-0001</t>
  </si>
  <si>
    <t>Units</t>
  </si>
  <si>
    <t>Printer L3210</t>
  </si>
  <si>
    <t>OM000057</t>
  </si>
  <si>
    <t>Laptop -BAC</t>
  </si>
  <si>
    <t>OM000060</t>
  </si>
  <si>
    <t>OM-BAC</t>
  </si>
  <si>
    <t>Laptop-Menro</t>
  </si>
  <si>
    <t>OM000061</t>
  </si>
  <si>
    <t>OM-MENRO</t>
  </si>
  <si>
    <t>Laptop</t>
  </si>
  <si>
    <t>OM000062</t>
  </si>
  <si>
    <t>OM000064</t>
  </si>
  <si>
    <t xml:space="preserve">Printer Copier </t>
  </si>
  <si>
    <t>OM2020-01</t>
  </si>
  <si>
    <t>Computer Set-AOC Flat Screen,CPU,AVR,UPS</t>
  </si>
  <si>
    <t>SB000033</t>
  </si>
  <si>
    <t>Sanggunian Bayan</t>
  </si>
  <si>
    <t xml:space="preserve">Compaq Laptop </t>
  </si>
  <si>
    <t>SB000038</t>
  </si>
  <si>
    <t>Apple Mac Book Air</t>
  </si>
  <si>
    <t>SB000039</t>
  </si>
  <si>
    <t>Digital Canon Copier NKR05024</t>
  </si>
  <si>
    <t>2014</t>
  </si>
  <si>
    <t>SB000041</t>
  </si>
  <si>
    <t>ID Printer</t>
  </si>
  <si>
    <t>SB2020-04</t>
  </si>
  <si>
    <t>Computer Desktop &amp; Printer</t>
  </si>
  <si>
    <t>SB2021-08</t>
  </si>
  <si>
    <t>SB2022-03</t>
  </si>
  <si>
    <t>Acer Laptop</t>
  </si>
  <si>
    <t>DEPEDDist0001</t>
  </si>
  <si>
    <t>DEP Ed District Office</t>
  </si>
  <si>
    <t>Dell Insperon 5567 Laptop</t>
  </si>
  <si>
    <t>MDR00065</t>
  </si>
  <si>
    <t>MDRRM Office</t>
  </si>
  <si>
    <t>SUB-TOTAL FOR 1-07-05-030 (IT EQUIPMENT)</t>
  </si>
  <si>
    <t>Cornsheller</t>
  </si>
  <si>
    <t>1-07-05-040</t>
  </si>
  <si>
    <t>AGRI000014</t>
  </si>
  <si>
    <t>Brown Rice Mill for Brown Rice Processing</t>
  </si>
  <si>
    <t>AGRI000028</t>
  </si>
  <si>
    <t>OAS</t>
  </si>
  <si>
    <t>(1) brown rice mill processor and housing located at Bigbiga</t>
  </si>
  <si>
    <t>OAS - Brgy Bigbiga</t>
  </si>
  <si>
    <t>SUB-TOTAL FOR 1-07-05-040 (AGRICULTURAL EQUIPMENT)</t>
  </si>
  <si>
    <t>SUB-TOTAL FOR 1-07-05-070 (COMMUNICATION EQUIPMENT)</t>
  </si>
  <si>
    <t>Chainsaw</t>
  </si>
  <si>
    <t>1-07-05-090</t>
  </si>
  <si>
    <t>Dec-12</t>
  </si>
  <si>
    <t>MDR00015-A</t>
  </si>
  <si>
    <t>Wooden Stretcher</t>
  </si>
  <si>
    <t>2011</t>
  </si>
  <si>
    <t>MDR000023</t>
  </si>
  <si>
    <t>Fire truck</t>
  </si>
  <si>
    <t>May 2012</t>
  </si>
  <si>
    <t>BFP</t>
  </si>
  <si>
    <t>Motorboat Engine</t>
  </si>
  <si>
    <t>May-15</t>
  </si>
  <si>
    <t>MDR000025</t>
  </si>
  <si>
    <t>Laerdal Adult Halftorso</t>
  </si>
  <si>
    <t>May-16</t>
  </si>
  <si>
    <t>MDR000028</t>
  </si>
  <si>
    <t>Monobloc tables</t>
  </si>
  <si>
    <t>MDR00074(1-40)</t>
  </si>
  <si>
    <t>Mechanical Siren</t>
  </si>
  <si>
    <t>MDR00075</t>
  </si>
  <si>
    <t>Big Chainsaw (STIHL)</t>
  </si>
  <si>
    <t>MDR00076</t>
  </si>
  <si>
    <t>Automated External Defibrillator (AED)</t>
  </si>
  <si>
    <t>MDR2023-07</t>
  </si>
  <si>
    <t>Generator 8.5KVA open type</t>
  </si>
  <si>
    <t>MDR2022-01</t>
  </si>
  <si>
    <t>Chainsaw Stihl 040</t>
  </si>
  <si>
    <t>MDR2022-02</t>
  </si>
  <si>
    <t>Chainsaw, STIHL Big 36"</t>
  </si>
  <si>
    <t>MDR2021-01</t>
  </si>
  <si>
    <t>Folding Bed, Heavy Duty, Retractable</t>
  </si>
  <si>
    <t>MDR2021-05</t>
  </si>
  <si>
    <t>Monobloc Chair, black</t>
  </si>
  <si>
    <t>MDR2021-06</t>
  </si>
  <si>
    <t>Monobloc Table, Square</t>
  </si>
  <si>
    <t>MDR2021-07</t>
  </si>
  <si>
    <t>Infant CPR Training Dummy</t>
  </si>
  <si>
    <t>MDR000029</t>
  </si>
  <si>
    <t xml:space="preserve">Early Warning Device for the MDRRM Evacuation and Operation center </t>
  </si>
  <si>
    <t>NOV 2022</t>
  </si>
  <si>
    <t>3 sets Base Radio</t>
  </si>
  <si>
    <t>Mar 2022</t>
  </si>
  <si>
    <t>Portable gasoline generator 10kw + Electronic battery and manual recoil start generator engine</t>
  </si>
  <si>
    <t>MDR2023-06</t>
  </si>
  <si>
    <t>portable Fogger machine (gasoline)</t>
  </si>
  <si>
    <t>MDR2024-002</t>
  </si>
  <si>
    <t>corded/cordless LED work light (10,000 lumens) AC/ 2x 18V 14.4 V LXT Li-on (extra battery, tripod, charger)</t>
  </si>
  <si>
    <t>MDR2024-005</t>
  </si>
  <si>
    <t>Toyota hilux 2017 (FX1) - SAC 3563</t>
  </si>
  <si>
    <t>1-07-06-010</t>
  </si>
  <si>
    <t>MDRRMv1</t>
  </si>
  <si>
    <t>MDRRM</t>
  </si>
  <si>
    <t>Toyota Pick-up 2021 - SAC 3169</t>
  </si>
  <si>
    <t>MDRRMv2</t>
  </si>
  <si>
    <t>Toyota hilux 2022 (FX2) - SAC 1182</t>
  </si>
  <si>
    <t>MDRRMv3</t>
  </si>
  <si>
    <t>Isuzu Dropside Truck 2023 - SAC 2080</t>
  </si>
  <si>
    <t>1-07-05-080</t>
  </si>
  <si>
    <t>MDRRM2023DT</t>
  </si>
  <si>
    <t>Manlift Sinotruk Truck</t>
  </si>
  <si>
    <t>01/17/2025</t>
  </si>
  <si>
    <t>MDRRM2025-manlift</t>
  </si>
  <si>
    <t>LDRRMO</t>
  </si>
  <si>
    <t>Supply, Delivery&amp; Installation of Various Radio Communication Equipment</t>
  </si>
  <si>
    <t>1-07-05-070</t>
  </si>
  <si>
    <t>12/3/2024</t>
  </si>
  <si>
    <t>MDR2024-radio</t>
  </si>
  <si>
    <t>Additional cost - antenna base radio (installation of 2024 radio communication equipment)</t>
  </si>
  <si>
    <t>Jan 2025</t>
  </si>
  <si>
    <t>Ondoy Boat, HD12 Model</t>
  </si>
  <si>
    <t>MDRRM2025-03</t>
  </si>
  <si>
    <t>Boat Engine - Mercury</t>
  </si>
  <si>
    <t>MDRRM2025-04</t>
  </si>
  <si>
    <t>Chainsaw, 5.9 HP Professional, Gasoline Engine, MS 462</t>
  </si>
  <si>
    <t>MDRRM2025-05</t>
  </si>
  <si>
    <t>SUB-TOTAL FOR 1-07-05-090 (DISASTER RESPONSE &amp; RESCUE EQUIPMENT)</t>
  </si>
  <si>
    <t>COLLILERT Water Coliform/E. Coli Testing Kit for</t>
  </si>
  <si>
    <t>1-07-05-110</t>
  </si>
  <si>
    <t>MHO000057</t>
  </si>
  <si>
    <t>Biological Testing of potable water sources</t>
  </si>
  <si>
    <t>Surgical Cautery Machine</t>
  </si>
  <si>
    <t>RHU_eq-2025-01</t>
  </si>
  <si>
    <t>Mobile Operating Room Light w/ stand - 4bulb LED</t>
  </si>
  <si>
    <t>RHU_eq-2025-02</t>
  </si>
  <si>
    <t xml:space="preserve">Surgical Bed </t>
  </si>
  <si>
    <t>RHU_eq-2025-04</t>
  </si>
  <si>
    <t>Dental Chair</t>
  </si>
  <si>
    <t>RHU_eq-2025-05</t>
  </si>
  <si>
    <t>Dental Scaler</t>
  </si>
  <si>
    <t>RHU_eq-2025-06</t>
  </si>
  <si>
    <t>Suction Machine</t>
  </si>
  <si>
    <t>RHU_eq-2025-07</t>
  </si>
  <si>
    <t>Therapeutic Ultrasound</t>
  </si>
  <si>
    <t>RHU_eq-2025-08</t>
  </si>
  <si>
    <t>Thread Mill Curved Manual</t>
  </si>
  <si>
    <t>RHU_eq-2025-09</t>
  </si>
  <si>
    <t>Autoclave Machine</t>
  </si>
  <si>
    <t>RHU_eq-2025-10</t>
  </si>
  <si>
    <t>SUB-TOTAL FOR 1-07-05-110 (MEDICAL EQUIPMENT)</t>
  </si>
  <si>
    <t>Electronic Basketball Scoreboard</t>
  </si>
  <si>
    <t>SK000001</t>
  </si>
  <si>
    <t>Mun. Gymnasium</t>
  </si>
  <si>
    <t>SUB-TOTAL FOR 1-07-05-130 (SPORTS EQUIPMENT)</t>
  </si>
  <si>
    <t>Mun. Ambulance FOTON - SAA 5205</t>
  </si>
  <si>
    <t>MHO000046</t>
  </si>
  <si>
    <t>pcs/units</t>
  </si>
  <si>
    <t>Ambulance Accessories</t>
  </si>
  <si>
    <t>HONDA XR 200 Motorcycle</t>
  </si>
  <si>
    <t>MTO000053</t>
  </si>
  <si>
    <t>Honda XR 200</t>
  </si>
  <si>
    <t>PNP0004</t>
  </si>
  <si>
    <t>PNP</t>
  </si>
  <si>
    <t>TMX Motorcycle with Side Car SH1149</t>
  </si>
  <si>
    <t>PNP0005</t>
  </si>
  <si>
    <t>Brgy Bigbiga-Tanod</t>
  </si>
  <si>
    <t>TOYOTA Passenger Van (HiAce 2017) - SAC 3564</t>
  </si>
  <si>
    <t>OM00057</t>
  </si>
  <si>
    <t>Toyota Hi Ace Commuter Van - SAC 3270</t>
  </si>
  <si>
    <t>SB2021-06</t>
  </si>
  <si>
    <t>Toyota Ambulance 2023 Hiace Commuter deluxe - SAC1186</t>
  </si>
  <si>
    <t>MHO2023v1</t>
  </si>
  <si>
    <t>Toyota Ambulance 2024 Hiace Commuter deluxe - SAC 1387</t>
  </si>
  <si>
    <t>MHO2024v1</t>
  </si>
  <si>
    <t>Sinotruck Garbage Truck</t>
  </si>
  <si>
    <t>MENRO2025-garbage</t>
  </si>
  <si>
    <t>SUB-TOTAL FOR 1-07-06-010 (MOTOR VEHICLES)</t>
  </si>
  <si>
    <t>Generator Set Yellow</t>
  </si>
  <si>
    <t>OM000047</t>
  </si>
  <si>
    <t>Transformer 100 KVA,d.b. Silicon fuse link 12 amp.</t>
  </si>
  <si>
    <t>OM00065</t>
  </si>
  <si>
    <t>SUB-TOTAL FOR 1-07-07-990 (MACHINERY)</t>
  </si>
  <si>
    <t>Mini-Dumptruck - Sinotruk 2021</t>
  </si>
  <si>
    <t>OM2021DT</t>
  </si>
  <si>
    <t>Foton mini-dumptruck 2021 - SAC 3221</t>
  </si>
  <si>
    <t>OM2021DT2</t>
  </si>
  <si>
    <t>Payloader Doosan</t>
  </si>
  <si>
    <t>OMheavy1</t>
  </si>
  <si>
    <t>Backhoe</t>
  </si>
  <si>
    <t>OMheavy2</t>
  </si>
  <si>
    <t>SUB-TOTAL FOR 1-07-05-080 (CONSTRUCTION &amp; HEAVY EQUIPMENT)</t>
  </si>
  <si>
    <t>LIGA000030</t>
  </si>
  <si>
    <t>Maliclico</t>
  </si>
  <si>
    <t>MDR000015</t>
  </si>
  <si>
    <t>Sep-11</t>
  </si>
  <si>
    <t>MDR000018</t>
  </si>
  <si>
    <t>Mechanical Coffee Pulper</t>
  </si>
  <si>
    <t>AGRI2024-04</t>
  </si>
  <si>
    <t>Manual Coffee Pulper</t>
  </si>
  <si>
    <t>AGRI2024-05</t>
  </si>
  <si>
    <t>Fogging machine</t>
  </si>
  <si>
    <t>High Performance Fogging Generator Power</t>
  </si>
  <si>
    <t>MHO2021-01</t>
  </si>
  <si>
    <t>Generator set, 10KW w/ ASTM Diesel Engine 3-Clylinde</t>
  </si>
  <si>
    <t>SB2021-05</t>
  </si>
  <si>
    <t>Coffee Roasting Machine</t>
  </si>
  <si>
    <t>AGRI2025-03</t>
  </si>
  <si>
    <t>Coffee Grinder/ Espresso Machine</t>
  </si>
  <si>
    <t>AGRI2025-04</t>
  </si>
  <si>
    <t>Coffee Dehuller</t>
  </si>
  <si>
    <t>AGRI2025-05</t>
  </si>
  <si>
    <t>SUB-TOTAL FOR 1-07-99-990 (OTHER Machinery &amp; Equipment)</t>
  </si>
  <si>
    <t>Dictionary</t>
  </si>
  <si>
    <t>1-07-07-020</t>
  </si>
  <si>
    <t>Nov. 2010</t>
  </si>
  <si>
    <t>ALS0011</t>
  </si>
  <si>
    <t>ALS Office</t>
  </si>
  <si>
    <t>Books for School</t>
  </si>
  <si>
    <t>ALS0012</t>
  </si>
  <si>
    <t>ALS0013</t>
  </si>
  <si>
    <t>Books for DCW</t>
  </si>
  <si>
    <t>ALS0014</t>
  </si>
  <si>
    <t>SUB-TOTAL FOR 1-07-07-020 (BOOKS)</t>
  </si>
  <si>
    <t>GRAND TOTAL OF SERVICEABLE PPE's as of DECEMBER 31, 2024</t>
  </si>
  <si>
    <t>INVENTORY OF UNSERVICEABLE PROPERTY, PLANT AND EQUIPMENT</t>
  </si>
  <si>
    <t>Hanabishi Hot &amp; Cold Water Dispense 20140557001368</t>
  </si>
  <si>
    <t>ASS000001</t>
  </si>
  <si>
    <t>Astron Stand Fan</t>
  </si>
  <si>
    <t>ASS000003</t>
  </si>
  <si>
    <t>Omni Emergency Lamp</t>
  </si>
  <si>
    <t>ASS000006</t>
  </si>
  <si>
    <t>MAX HD Stapler</t>
  </si>
  <si>
    <t>ASS000007</t>
  </si>
  <si>
    <t>Logitech Computer Speaker</t>
  </si>
  <si>
    <t>ASS000008</t>
  </si>
  <si>
    <t>Olympia Long Barrel Typewriter</t>
  </si>
  <si>
    <t>ASS000010</t>
  </si>
  <si>
    <t>Exsol Hot &amp; Cold Water Dispenser</t>
  </si>
  <si>
    <t>2008</t>
  </si>
  <si>
    <t>ASS000011</t>
  </si>
  <si>
    <t>Camel Hot &amp; Cold Water Dispenser</t>
  </si>
  <si>
    <t>2012</t>
  </si>
  <si>
    <t>ASS000012</t>
  </si>
  <si>
    <t>Standard ground Electric Fan</t>
  </si>
  <si>
    <t>AGRI000003</t>
  </si>
  <si>
    <t>National Personal Ref</t>
  </si>
  <si>
    <t>AGRI000004</t>
  </si>
  <si>
    <t>Water Dispenser</t>
  </si>
  <si>
    <t>AGRI000005</t>
  </si>
  <si>
    <t>Heavy Duty Photocopier</t>
  </si>
  <si>
    <t>AGRI2022-05</t>
  </si>
  <si>
    <t>Desk Fan***</t>
  </si>
  <si>
    <t>MBO000008</t>
  </si>
  <si>
    <t>National Window Type Aircon</t>
  </si>
  <si>
    <t>MCR000001</t>
  </si>
  <si>
    <t>Panasonic Aircon***</t>
  </si>
  <si>
    <t>MHO000002</t>
  </si>
  <si>
    <t>LG 7cu ft Refrigerator</t>
  </si>
  <si>
    <t>MHO000004</t>
  </si>
  <si>
    <t>National Refrigerator (Donation)</t>
  </si>
  <si>
    <t>MHO000005</t>
  </si>
  <si>
    <t>Unit</t>
  </si>
  <si>
    <t>Canon Digital Camera</t>
  </si>
  <si>
    <t>MPDO000005</t>
  </si>
  <si>
    <t>Hitachi Window Type Aircon</t>
  </si>
  <si>
    <t>MSWD000001A</t>
  </si>
  <si>
    <t>Canon Power Shot A400 Camera c/o Ian Danguecan</t>
  </si>
  <si>
    <t>MSWD000003</t>
  </si>
  <si>
    <t>Social Welfare Development</t>
  </si>
  <si>
    <t>Sony Power Shot Digi Cam w/ complete Accessories</t>
  </si>
  <si>
    <t>MSWD000004</t>
  </si>
  <si>
    <t>MSWD000005</t>
  </si>
  <si>
    <t>Firefly Emergency Lamp</t>
  </si>
  <si>
    <t>MSWD000006</t>
  </si>
  <si>
    <t>Steel Alum. 4 Steps Laddder***</t>
  </si>
  <si>
    <t>MSWD000007</t>
  </si>
  <si>
    <t>InFocus IN 114 A</t>
  </si>
  <si>
    <t>MSWD000009</t>
  </si>
  <si>
    <t xml:space="preserve">Projector Screen TRIM WD-100 178x178 </t>
  </si>
  <si>
    <t>MSWD000010</t>
  </si>
  <si>
    <t>Standard Fontana Square Desk Fan***</t>
  </si>
  <si>
    <t>2009</t>
  </si>
  <si>
    <t>MSWD000024</t>
  </si>
  <si>
    <t>3D Turbo Fan**</t>
  </si>
  <si>
    <t>MSWD000025</t>
  </si>
  <si>
    <t>Panasonic Aircon 3731500682/3709602793</t>
  </si>
  <si>
    <t>OM000002</t>
  </si>
  <si>
    <t>Comb Binding Machine</t>
  </si>
  <si>
    <t>Biometric Machine w/ Accessories</t>
  </si>
  <si>
    <t>OM000003</t>
  </si>
  <si>
    <t xml:space="preserve">SLR Video Camera </t>
  </si>
  <si>
    <t>OM000004</t>
  </si>
  <si>
    <t>Mayor's-PNP</t>
  </si>
  <si>
    <t>EOS Flash for SLR Camera</t>
  </si>
  <si>
    <t>OM000005</t>
  </si>
  <si>
    <t>Gestetner MO1600LE Photocopier</t>
  </si>
  <si>
    <t>OM000007</t>
  </si>
  <si>
    <t>InFocus LCD Projector 400 Ansi Lumens</t>
  </si>
  <si>
    <t>OM000008</t>
  </si>
  <si>
    <t xml:space="preserve">LG Refrigerator 5.5  cu ft. </t>
  </si>
  <si>
    <t>OM000009</t>
  </si>
  <si>
    <t>Dolby CIGNAL HD Box</t>
  </si>
  <si>
    <t>OM000011</t>
  </si>
  <si>
    <t>Coffee Vending machine</t>
  </si>
  <si>
    <t>OM000012</t>
  </si>
  <si>
    <t>Public Address Mipro</t>
  </si>
  <si>
    <t>OM000031-2</t>
  </si>
  <si>
    <t>OM000034</t>
  </si>
  <si>
    <t>Hitachi Aircon</t>
  </si>
  <si>
    <t>MDR000001</t>
  </si>
  <si>
    <t>BENQ Digital Projector w/ Bag PDM4D00463001</t>
  </si>
  <si>
    <t>MDR000002</t>
  </si>
  <si>
    <t>Eureka Water Dispenser</t>
  </si>
  <si>
    <t>MDR000031</t>
  </si>
  <si>
    <t>Desktop Calculator with printer</t>
  </si>
  <si>
    <t>MTO000015</t>
  </si>
  <si>
    <t>Promac Electric Stand Fan - Blue</t>
  </si>
  <si>
    <t>2015</t>
  </si>
  <si>
    <t>MTO000017</t>
  </si>
  <si>
    <t>Astron Electric Stand Fan - Green</t>
  </si>
  <si>
    <t>MTO000018</t>
  </si>
  <si>
    <t>Carrier Window Type Aircon</t>
  </si>
  <si>
    <t>MTO000019</t>
  </si>
  <si>
    <t>2004</t>
  </si>
  <si>
    <t>MTO000020</t>
  </si>
  <si>
    <t>Money Detector</t>
  </si>
  <si>
    <t>MTO000021</t>
  </si>
  <si>
    <t>Max HD-12N/17 Stapler</t>
  </si>
  <si>
    <t>MTO000022</t>
  </si>
  <si>
    <t>Olympia Typewriter long barrel</t>
  </si>
  <si>
    <t>MTO000023</t>
  </si>
  <si>
    <t>Checkwriter</t>
  </si>
  <si>
    <t>MTO000040</t>
  </si>
  <si>
    <t>Stainless Standard Desk Fan</t>
  </si>
  <si>
    <t>MTO000052</t>
  </si>
  <si>
    <t>Carrier 2.5hp Window Type Aircon</t>
  </si>
  <si>
    <t>SB000018</t>
  </si>
  <si>
    <t>Carrier 8 in 1 Aircon</t>
  </si>
  <si>
    <t>SB000019</t>
  </si>
  <si>
    <t>Dream Cable</t>
  </si>
  <si>
    <t>SB000020</t>
  </si>
  <si>
    <t>Canon EOS SLR Camera</t>
  </si>
  <si>
    <t>SB000021</t>
  </si>
  <si>
    <t>Coffee Vending Machine</t>
  </si>
  <si>
    <t>SB000022</t>
  </si>
  <si>
    <t>Imarflex Coffee Maker</t>
  </si>
  <si>
    <t>SB000023</t>
  </si>
  <si>
    <t>Standard Electric Stand Fan</t>
  </si>
  <si>
    <t>SB000024</t>
  </si>
  <si>
    <t>Standard Stainless Electric Fan</t>
  </si>
  <si>
    <t>SB000025</t>
  </si>
  <si>
    <t>Logitech Speaker</t>
  </si>
  <si>
    <t>SB000028</t>
  </si>
  <si>
    <t>SB000031</t>
  </si>
  <si>
    <t>SB000047</t>
  </si>
  <si>
    <t>Fedders Aircon</t>
  </si>
  <si>
    <t>SB000048</t>
  </si>
  <si>
    <t>Unikon Speaker &amp; DVD Player</t>
  </si>
  <si>
    <t>SB000051</t>
  </si>
  <si>
    <t>JVC CD Portable Player</t>
  </si>
  <si>
    <t>SB000053</t>
  </si>
  <si>
    <t>Carrier Aircon SN:111603551</t>
  </si>
  <si>
    <t>SB000054</t>
  </si>
  <si>
    <t>Refregirator, 2 doors</t>
  </si>
  <si>
    <t>SB000055</t>
  </si>
  <si>
    <t>Water Dispenser, Hot, Cold &amp; Warm</t>
  </si>
  <si>
    <t>SB2021-03</t>
  </si>
  <si>
    <t>Gray Swivel Chair Gray with arm rest</t>
  </si>
  <si>
    <t>ACCT000009</t>
  </si>
  <si>
    <t>Black Swivel Chair Chair  with arm rest</t>
  </si>
  <si>
    <t>ACCT000010</t>
  </si>
  <si>
    <t>Executive Swivel Chair</t>
  </si>
  <si>
    <t>ACCT0000015</t>
  </si>
  <si>
    <t>Swivel chair</t>
  </si>
  <si>
    <t>AGRI000009</t>
  </si>
  <si>
    <t>White Plastic Monobloc Chairs with arm rest</t>
  </si>
  <si>
    <t>1990s</t>
  </si>
  <si>
    <t>AGRI000010</t>
  </si>
  <si>
    <t>AGRI000017</t>
  </si>
  <si>
    <t>Built-in Cabinet with 37 doors</t>
  </si>
  <si>
    <t>ASS000013</t>
  </si>
  <si>
    <t>Hermaco Steel Cabinet with 4 Drawers</t>
  </si>
  <si>
    <t>ASS000014</t>
  </si>
  <si>
    <t>Wooden Hanging Cabinet with 3 Doors</t>
  </si>
  <si>
    <t>ASS000015</t>
  </si>
  <si>
    <t>Computer Chair without arm rest</t>
  </si>
  <si>
    <t>ASS000016</t>
  </si>
  <si>
    <t>Black Swivel with arm rest</t>
  </si>
  <si>
    <t>ASS000020</t>
  </si>
  <si>
    <t>Black computer Chair</t>
  </si>
  <si>
    <t>ASS000026</t>
  </si>
  <si>
    <t>Swivel Jr. Chair</t>
  </si>
  <si>
    <t>MBO000003</t>
  </si>
  <si>
    <t>Tika Office table custom made w/ printer table</t>
  </si>
  <si>
    <t>MBO000007</t>
  </si>
  <si>
    <t>Computer Tables</t>
  </si>
  <si>
    <t>MHO000034a</t>
  </si>
  <si>
    <t>Open File Cabinet</t>
  </si>
  <si>
    <t>MPDO000007</t>
  </si>
  <si>
    <t>Executive Swivel Chair with pneumatic back rest</t>
  </si>
  <si>
    <t>MPDO000008</t>
  </si>
  <si>
    <t>Swivel Chair w/o arm rest</t>
  </si>
  <si>
    <t>MPDO000010</t>
  </si>
  <si>
    <t>Monobloc Chairs (Gray)***</t>
  </si>
  <si>
    <t>OM000018</t>
  </si>
  <si>
    <t>Svwivel Chair</t>
  </si>
  <si>
    <t>OM000045</t>
  </si>
  <si>
    <t>Monobloc Chairs Mint Green***</t>
  </si>
  <si>
    <t>OM000055</t>
  </si>
  <si>
    <t>Executive Swivel Chair with arm rest - black leather</t>
  </si>
  <si>
    <t>MTO000006</t>
  </si>
  <si>
    <t>Black Swivel Chair</t>
  </si>
  <si>
    <t>MTO000007</t>
  </si>
  <si>
    <t>Wooden Office Table with 2 drawers and top glass</t>
  </si>
  <si>
    <t>MTO000043</t>
  </si>
  <si>
    <t>Big Swivel Chair</t>
  </si>
  <si>
    <t>SB000052</t>
  </si>
  <si>
    <t>Swivel Chairs</t>
  </si>
  <si>
    <t>SB000007</t>
  </si>
  <si>
    <t>Hermaco Steel with 4 drawers</t>
  </si>
  <si>
    <t>MSWD000013</t>
  </si>
  <si>
    <t>Computer Chair with arm rest</t>
  </si>
  <si>
    <t>MSWD000018c-e</t>
  </si>
  <si>
    <t>SWD</t>
  </si>
  <si>
    <t>Computer Table organizer</t>
  </si>
  <si>
    <t>MSWD000021</t>
  </si>
  <si>
    <t>Epson L220 Printer (VGWK114251)</t>
  </si>
  <si>
    <t>ACCT0000019</t>
  </si>
  <si>
    <t>HP CPU</t>
  </si>
  <si>
    <t>ACCT000025</t>
  </si>
  <si>
    <t>Epson L110 Printer (SMQK052350)</t>
  </si>
  <si>
    <t>ACCT000026</t>
  </si>
  <si>
    <t>AOC Flat Screen Computer set with table &amp; speaker</t>
  </si>
  <si>
    <t>AGRI000011</t>
  </si>
  <si>
    <t>Epson L120 TP3K064589</t>
  </si>
  <si>
    <t>2013</t>
  </si>
  <si>
    <t>ASS000019</t>
  </si>
  <si>
    <t>Lenovo Laptop    CB10037150</t>
  </si>
  <si>
    <t>ASS000022</t>
  </si>
  <si>
    <t>Lenovo Laptop</t>
  </si>
  <si>
    <t>MBO000011</t>
  </si>
  <si>
    <t>Samsung Monitor</t>
  </si>
  <si>
    <t>MBO000013</t>
  </si>
  <si>
    <t>CPU Cosmos COS5000KWN11134700120</t>
  </si>
  <si>
    <t>MBO000014</t>
  </si>
  <si>
    <t>Epson L210 Printer SMXK217222</t>
  </si>
  <si>
    <t>MBO000015</t>
  </si>
  <si>
    <t>Canon Pixma Printer</t>
  </si>
  <si>
    <t>MCR000012</t>
  </si>
  <si>
    <t>CPU</t>
  </si>
  <si>
    <t>MCR000014</t>
  </si>
  <si>
    <t>May-14</t>
  </si>
  <si>
    <t>MDR000011</t>
  </si>
  <si>
    <t>Epson Stylus Printer L120</t>
  </si>
  <si>
    <t>MDR000012</t>
  </si>
  <si>
    <t>Power Logic CPU</t>
  </si>
  <si>
    <t>MEO000014</t>
  </si>
  <si>
    <t>Epson Printer L360</t>
  </si>
  <si>
    <t>MEO000011</t>
  </si>
  <si>
    <t>MEO000012</t>
  </si>
  <si>
    <t>Samsung Desktop Computer Set ZZCLH4LG801400B</t>
  </si>
  <si>
    <t>MHO000037</t>
  </si>
  <si>
    <t>MHO000039</t>
  </si>
  <si>
    <t>Brother 3 in 1 Printer E70445C4F462336</t>
  </si>
  <si>
    <t>MHO000041</t>
  </si>
  <si>
    <t>Black ASUS Laptop</t>
  </si>
  <si>
    <t>MHO000050</t>
  </si>
  <si>
    <t>MHO000051</t>
  </si>
  <si>
    <t>ACER Laptop</t>
  </si>
  <si>
    <t>MPDC000014</t>
  </si>
  <si>
    <t>My Passport External Hard drive</t>
  </si>
  <si>
    <t>MSWD000029</t>
  </si>
  <si>
    <t>MY DSL Zyxel internet modem model P-660HM-T18</t>
  </si>
  <si>
    <t>MSWD000030</t>
  </si>
  <si>
    <t>Trendnet Internet Router</t>
  </si>
  <si>
    <t>MSWD000031</t>
  </si>
  <si>
    <t>Laptop Asus Model x200m Notebook PC 4377***</t>
  </si>
  <si>
    <t>MSWD000032</t>
  </si>
  <si>
    <t>To LDRRMO</t>
  </si>
  <si>
    <t>OM000028</t>
  </si>
  <si>
    <t>(OM) Lina Lagria</t>
  </si>
  <si>
    <t>Asus Flipcore Laptop</t>
  </si>
  <si>
    <t>OM000029</t>
  </si>
  <si>
    <t>Epson L 220</t>
  </si>
  <si>
    <t>OM000030</t>
  </si>
  <si>
    <t>Epson Printer L210</t>
  </si>
  <si>
    <t>OM000039</t>
  </si>
  <si>
    <t>AOC Desktop complete GB2D61A000708</t>
  </si>
  <si>
    <t>OM000044</t>
  </si>
  <si>
    <t>Canon A3 Printer Black</t>
  </si>
  <si>
    <t>MTO000033</t>
  </si>
  <si>
    <t>Epson Printer L220 VGWK106652</t>
  </si>
  <si>
    <t>MTO000034</t>
  </si>
  <si>
    <t>Epson Printer L220  VGWK113977</t>
  </si>
  <si>
    <t>MTO000035</t>
  </si>
  <si>
    <t>Epson Printer L210 SMXK149577</t>
  </si>
  <si>
    <t>MTO000035-A</t>
  </si>
  <si>
    <t>Epson Printer SMXK152210</t>
  </si>
  <si>
    <t>MTO000035-B</t>
  </si>
  <si>
    <t>Computer Desktop - iTAX Province***</t>
  </si>
  <si>
    <t>MTO000036</t>
  </si>
  <si>
    <t>Treasury (PTO)</t>
  </si>
  <si>
    <t xml:space="preserve">set </t>
  </si>
  <si>
    <t>HP Flat Screen Monitor &amp; HP CPU with access. 6CM4043C02</t>
  </si>
  <si>
    <t>MTO000050</t>
  </si>
  <si>
    <t>Epson L210 Printer SMXK152210</t>
  </si>
  <si>
    <t>Aug. 2014</t>
  </si>
  <si>
    <t>MTO000058</t>
  </si>
  <si>
    <t>Computer set - AOC Monitor/Power Logic CPU</t>
  </si>
  <si>
    <t>2009/May 2013</t>
  </si>
  <si>
    <t>MTO000059</t>
  </si>
  <si>
    <t>SB000037</t>
  </si>
  <si>
    <t>Canon Pixma 2 in 1 printer w/ copier</t>
  </si>
  <si>
    <t>SB000040</t>
  </si>
  <si>
    <t>CANON Copier IR1210</t>
  </si>
  <si>
    <t>SB000050</t>
  </si>
  <si>
    <t>Honey Extractor</t>
  </si>
  <si>
    <t>AGRI000013</t>
  </si>
  <si>
    <t>Rice Thresher with tire &amp; 7hp engine</t>
  </si>
  <si>
    <t>AGRI000015</t>
  </si>
  <si>
    <t>Float tiller w/ 7hp engine</t>
  </si>
  <si>
    <t>AGRI000016</t>
  </si>
  <si>
    <t>Cellular Phone Nokia Asha</t>
  </si>
  <si>
    <t>AGRI000012</t>
  </si>
  <si>
    <t>Nokia Asha Cellular Phone(turn over to OM)</t>
  </si>
  <si>
    <t>AGRI000020</t>
  </si>
  <si>
    <t>Nokia Asha 200</t>
  </si>
  <si>
    <t>ASS000023</t>
  </si>
  <si>
    <t>MBO000010</t>
  </si>
  <si>
    <t>MCR000013</t>
  </si>
  <si>
    <t>Samsung J7 Cellular Phone</t>
  </si>
  <si>
    <t>MDR000036</t>
  </si>
  <si>
    <t xml:space="preserve">Cellular Phones </t>
  </si>
  <si>
    <t>Apr-14</t>
  </si>
  <si>
    <t>MDR000037</t>
  </si>
  <si>
    <t>Nokia Asha</t>
  </si>
  <si>
    <t>MPDC000017</t>
  </si>
  <si>
    <t>MSWD000038</t>
  </si>
  <si>
    <t>Property Office</t>
  </si>
  <si>
    <t>Nokia Asha Cellular Phone (Lina,Marj,Roger)</t>
  </si>
  <si>
    <t>OM000027-3</t>
  </si>
  <si>
    <t>ICOM Handheld Radio**</t>
  </si>
  <si>
    <t>OM000033-4</t>
  </si>
  <si>
    <t>PABX Advance Hybrid Sys***</t>
  </si>
  <si>
    <t>OM000032</t>
  </si>
  <si>
    <t>Nokia Asha Cellular Phone</t>
  </si>
  <si>
    <t>OM000041</t>
  </si>
  <si>
    <t>Cellular Phone - Nokia Asha</t>
  </si>
  <si>
    <t>MTO000038</t>
  </si>
  <si>
    <t>DILG0001</t>
  </si>
  <si>
    <t>Nokia cellular phone</t>
  </si>
  <si>
    <t>SB000043</t>
  </si>
  <si>
    <t>SB000044</t>
  </si>
  <si>
    <t>ICOM Handheld Radio w/ Battery Pack and Charger</t>
  </si>
  <si>
    <t>PNP0003</t>
  </si>
  <si>
    <t>Elective Officials</t>
  </si>
  <si>
    <t>Cellular Phone - Nokia</t>
  </si>
  <si>
    <t xml:space="preserve">Fiber Plastic Material </t>
  </si>
  <si>
    <t>MDR000013</t>
  </si>
  <si>
    <t>12,200.00</t>
  </si>
  <si>
    <t>8 seater Rescue Motorboat with Engine</t>
  </si>
  <si>
    <t>MDR000014</t>
  </si>
  <si>
    <t>922,600.00</t>
  </si>
  <si>
    <t>Brush Cutter</t>
  </si>
  <si>
    <t>MDR000016</t>
  </si>
  <si>
    <t>23,500.00</t>
  </si>
  <si>
    <t>MDR000017</t>
  </si>
  <si>
    <t>Steel Boat</t>
  </si>
  <si>
    <t>Jun-10</t>
  </si>
  <si>
    <t>MDR000026</t>
  </si>
  <si>
    <t>MDR000033</t>
  </si>
  <si>
    <t>Portalet w/ lavatory Wastetank &amp; Flush</t>
  </si>
  <si>
    <t>Feb-14</t>
  </si>
  <si>
    <t>MDR000038</t>
  </si>
  <si>
    <t>Desktype BP App</t>
  </si>
  <si>
    <t>MHO000006</t>
  </si>
  <si>
    <t>MHO000013</t>
  </si>
  <si>
    <t>ALPHA K2 &amp; MT I Pediatric Sphyg</t>
  </si>
  <si>
    <t>MHO000017</t>
  </si>
  <si>
    <t>Non Mercurial Desktype Sphyg</t>
  </si>
  <si>
    <t>MHO000018</t>
  </si>
  <si>
    <t>Detecto Weighing Scale</t>
  </si>
  <si>
    <t>MHO000020</t>
  </si>
  <si>
    <t>Detecto Weighing Scale (Stand-up)</t>
  </si>
  <si>
    <t>MHO000021</t>
  </si>
  <si>
    <t>Thermometer, Digital, Non-Mercurial</t>
  </si>
  <si>
    <t>D-MHO000021</t>
  </si>
  <si>
    <t>Kelly Pad</t>
  </si>
  <si>
    <t>D-MHO000023</t>
  </si>
  <si>
    <t>BP Apparatus, Desk Type with Adult and pedia cuff non-mercurial</t>
  </si>
  <si>
    <t>D-MHO000028</t>
  </si>
  <si>
    <t>Patient Bed Folded</t>
  </si>
  <si>
    <t>MHO000027</t>
  </si>
  <si>
    <t>Delica White SFH836</t>
  </si>
  <si>
    <t>OM000052</t>
  </si>
  <si>
    <t>Delica Green SFH850</t>
  </si>
  <si>
    <t>OM000053</t>
  </si>
  <si>
    <t>Delica Gray SFH844</t>
  </si>
  <si>
    <t>OM000054</t>
  </si>
  <si>
    <t>Toy Car</t>
  </si>
  <si>
    <t>2003</t>
  </si>
  <si>
    <t>Ambulance 2 SJS 707</t>
  </si>
  <si>
    <t>MHO000047</t>
  </si>
  <si>
    <t>Ambulance 3 SKP 982</t>
  </si>
  <si>
    <t>MHO000048</t>
  </si>
  <si>
    <t>Ambulance 4 ES 153</t>
  </si>
  <si>
    <t>MHO000049</t>
  </si>
  <si>
    <t>Motorcycle Predator 200 cc # ZA 3353***</t>
  </si>
  <si>
    <t>MTO000039</t>
  </si>
  <si>
    <t>Dump Truck SGZ965</t>
  </si>
  <si>
    <t>OM000049</t>
  </si>
  <si>
    <t>Dump Truck SGZ975</t>
  </si>
  <si>
    <t>OM000050</t>
  </si>
  <si>
    <t>Dump Truck Forward ZFB968</t>
  </si>
  <si>
    <t>OM000051</t>
  </si>
  <si>
    <t>Payloader</t>
  </si>
  <si>
    <t>mixer</t>
  </si>
  <si>
    <t>April 2005</t>
  </si>
  <si>
    <t>Tractor</t>
  </si>
  <si>
    <t>Dec 2006</t>
  </si>
  <si>
    <t>OM000048</t>
  </si>
  <si>
    <t>GRAND TOTAL OF UNSERVICEABLE PPE's as of DECEMBER 31, 2024</t>
  </si>
  <si>
    <t>Submitted by:</t>
  </si>
  <si>
    <t>LARALIE M. VILLA</t>
  </si>
  <si>
    <t>Admin. Aide IV/ GSO-Designate</t>
  </si>
  <si>
    <t>Repulic of the Philippines</t>
  </si>
  <si>
    <t>Province of La Union</t>
  </si>
  <si>
    <t>Municipality of Sudipen</t>
  </si>
  <si>
    <t>INVENTORY OF SERVICEABLE PROPERTY, PLANT AND EQUIPMENT</t>
  </si>
  <si>
    <t>2011 YAMAHA Enduro Outboard Motor Engine with complete Accessories</t>
  </si>
  <si>
    <t>Fogging Machine</t>
  </si>
  <si>
    <t>Computer: Monitor Samsung V8CFHMAB100173A  CPU (Aquarius); keyboard &amp; mouse;epson printer</t>
  </si>
  <si>
    <t>Asus Computer Set Intel Core 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</si>
</sst>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409]dd\-mmm\-yy"/>
    <numFmt numFmtId="166" formatCode="[$-409]d\-mmm\-yy"/>
    <numFmt numFmtId="167" formatCode="[$-409]mmm\-yy"/>
    <numFmt numFmtId="168" formatCode="[$-409]mmmm\ d\,\ yyyy"/>
    <numFmt numFmtId="169" formatCode="yyyy\-mm\-dd"/>
  </numFmts>
  <fonts count="24" x14ac:knownFonts="1">
    <font>
      <sz val="11"/>
      <color theme="1"/>
      <name val="Calibri"/>
      <scheme val="minor"/>
    </font>
    <font>
      <sz val="11"/>
      <name val="Calibri"/>
    </font>
    <font>
      <b/>
      <sz val="20"/>
      <color theme="1"/>
      <name val="Times New Roman"/>
    </font>
    <font>
      <sz val="10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1"/>
      <color theme="1"/>
      <name val="Calibri"/>
    </font>
    <font>
      <b/>
      <sz val="9"/>
      <color theme="1"/>
      <name val="Arial"/>
    </font>
    <font>
      <sz val="10"/>
      <color theme="1"/>
      <name val="Calibri"/>
    </font>
    <font>
      <sz val="8"/>
      <color theme="1"/>
      <name val="Arial"/>
    </font>
    <font>
      <sz val="10"/>
      <color rgb="FFFF0000"/>
      <name val="Arial"/>
    </font>
    <font>
      <sz val="10"/>
      <name val="Arial"/>
    </font>
    <font>
      <sz val="9"/>
      <name val="Arial"/>
    </font>
    <font>
      <sz val="11"/>
      <name val="Calibri"/>
      <scheme val="minor"/>
    </font>
    <font>
      <sz val="8"/>
      <name val="Arial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ADADA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548135"/>
        <bgColor rgb="FF548135"/>
      </patternFill>
    </fill>
    <fill>
      <patternFill patternType="solid">
        <fgColor theme="0"/>
        <bgColor rgb="FFF7CAAC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0" applyNumberFormat="1" applyFont="1" applyFill="1"/>
    <xf numFmtId="0" fontId="3" fillId="2" borderId="5" xfId="0" applyFont="1" applyFill="1" applyBorder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6" xfId="0" applyFont="1" applyFill="1" applyBorder="1"/>
    <xf numFmtId="0" fontId="7" fillId="2" borderId="3" xfId="0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 vertical="top"/>
    </xf>
    <xf numFmtId="164" fontId="7" fillId="2" borderId="5" xfId="0" applyNumberFormat="1" applyFont="1" applyFill="1" applyBorder="1" applyAlignment="1">
      <alignment horizontal="center" vertical="top"/>
    </xf>
    <xf numFmtId="164" fontId="7" fillId="2" borderId="4" xfId="0" applyNumberFormat="1" applyFont="1" applyFill="1" applyBorder="1" applyAlignment="1">
      <alignment horizontal="center" vertical="top"/>
    </xf>
    <xf numFmtId="0" fontId="3" fillId="0" borderId="9" xfId="0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right" vertical="center"/>
    </xf>
    <xf numFmtId="0" fontId="3" fillId="0" borderId="9" xfId="0" applyFont="1" applyBorder="1"/>
    <xf numFmtId="0" fontId="3" fillId="0" borderId="0" xfId="0" applyFont="1"/>
    <xf numFmtId="0" fontId="3" fillId="0" borderId="9" xfId="0" applyFont="1" applyBorder="1" applyAlignment="1">
      <alignment horizontal="center"/>
    </xf>
    <xf numFmtId="164" fontId="3" fillId="0" borderId="9" xfId="0" applyNumberFormat="1" applyFont="1" applyBorder="1"/>
    <xf numFmtId="17" fontId="3" fillId="0" borderId="9" xfId="0" applyNumberFormat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vertical="center"/>
    </xf>
    <xf numFmtId="17" fontId="3" fillId="0" borderId="9" xfId="0" quotePrefix="1" applyNumberFormat="1" applyFont="1" applyBorder="1" applyAlignment="1">
      <alignment horizontal="center" vertical="center"/>
    </xf>
    <xf numFmtId="167" fontId="3" fillId="0" borderId="9" xfId="0" quotePrefix="1" applyNumberFormat="1" applyFont="1" applyBorder="1" applyAlignment="1">
      <alignment horizontal="center"/>
    </xf>
    <xf numFmtId="164" fontId="9" fillId="4" borderId="4" xfId="0" applyNumberFormat="1" applyFont="1" applyFill="1" applyBorder="1" applyAlignment="1">
      <alignment horizontal="right" vertical="center"/>
    </xf>
    <xf numFmtId="0" fontId="10" fillId="4" borderId="8" xfId="0" applyFont="1" applyFill="1" applyBorder="1"/>
    <xf numFmtId="164" fontId="11" fillId="0" borderId="0" xfId="0" applyNumberFormat="1" applyFont="1"/>
    <xf numFmtId="164" fontId="9" fillId="4" borderId="5" xfId="0" applyNumberFormat="1" applyFont="1" applyFill="1" applyBorder="1" applyAlignment="1">
      <alignment horizontal="right" vertical="center"/>
    </xf>
    <xf numFmtId="0" fontId="12" fillId="4" borderId="8" xfId="0" applyFont="1" applyFill="1" applyBorder="1"/>
    <xf numFmtId="0" fontId="13" fillId="0" borderId="9" xfId="0" applyFont="1" applyBorder="1" applyAlignment="1">
      <alignment horizontal="center" vertical="center"/>
    </xf>
    <xf numFmtId="165" fontId="13" fillId="0" borderId="9" xfId="0" applyNumberFormat="1" applyFont="1" applyBorder="1" applyAlignment="1">
      <alignment horizontal="center"/>
    </xf>
    <xf numFmtId="164" fontId="13" fillId="0" borderId="9" xfId="0" applyNumberFormat="1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9" xfId="0" applyFont="1" applyBorder="1" applyAlignment="1">
      <alignment horizontal="center"/>
    </xf>
    <xf numFmtId="168" fontId="14" fillId="0" borderId="9" xfId="0" applyNumberFormat="1" applyFont="1" applyBorder="1" applyAlignment="1">
      <alignment horizontal="center"/>
    </xf>
    <xf numFmtId="164" fontId="11" fillId="0" borderId="13" xfId="0" applyNumberFormat="1" applyFont="1" applyBorder="1"/>
    <xf numFmtId="168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164" fontId="11" fillId="0" borderId="9" xfId="0" applyNumberFormat="1" applyFont="1" applyBorder="1" applyAlignment="1">
      <alignment horizontal="left"/>
    </xf>
    <xf numFmtId="165" fontId="11" fillId="0" borderId="13" xfId="0" applyNumberFormat="1" applyFont="1" applyBorder="1"/>
    <xf numFmtId="0" fontId="10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/>
    </xf>
    <xf numFmtId="167" fontId="3" fillId="0" borderId="9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8" fontId="11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0" xfId="0" applyNumberFormat="1" applyFont="1"/>
    <xf numFmtId="165" fontId="11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166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17" fontId="3" fillId="2" borderId="9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right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10" fillId="0" borderId="9" xfId="0" applyFont="1" applyBorder="1"/>
    <xf numFmtId="49" fontId="3" fillId="0" borderId="9" xfId="0" applyNumberFormat="1" applyFont="1" applyBorder="1" applyAlignment="1">
      <alignment horizontal="center" vertical="center"/>
    </xf>
    <xf numFmtId="15" fontId="3" fillId="2" borderId="9" xfId="0" applyNumberFormat="1" applyFont="1" applyFill="1" applyBorder="1" applyAlignment="1">
      <alignment horizontal="center" vertical="center"/>
    </xf>
    <xf numFmtId="17" fontId="3" fillId="2" borderId="9" xfId="0" quotePrefix="1" applyNumberFormat="1" applyFont="1" applyFill="1" applyBorder="1" applyAlignment="1">
      <alignment horizontal="center" vertical="center"/>
    </xf>
    <xf numFmtId="0" fontId="10" fillId="0" borderId="14" xfId="0" applyFont="1" applyBorder="1"/>
    <xf numFmtId="164" fontId="11" fillId="0" borderId="19" xfId="0" applyNumberFormat="1" applyFont="1" applyBorder="1"/>
    <xf numFmtId="0" fontId="11" fillId="0" borderId="13" xfId="0" applyFont="1" applyBorder="1" applyAlignment="1">
      <alignment horizontal="center"/>
    </xf>
    <xf numFmtId="0" fontId="13" fillId="0" borderId="13" xfId="0" applyFont="1" applyBorder="1" applyAlignment="1">
      <alignment wrapText="1"/>
    </xf>
    <xf numFmtId="0" fontId="11" fillId="0" borderId="19" xfId="0" applyFont="1" applyBorder="1" applyAlignment="1">
      <alignment horizontal="center"/>
    </xf>
    <xf numFmtId="164" fontId="9" fillId="4" borderId="22" xfId="0" applyNumberFormat="1" applyFont="1" applyFill="1" applyBorder="1" applyAlignment="1">
      <alignment horizontal="right" vertical="center"/>
    </xf>
    <xf numFmtId="164" fontId="9" fillId="4" borderId="20" xfId="0" applyNumberFormat="1" applyFont="1" applyFill="1" applyBorder="1" applyAlignment="1">
      <alignment horizontal="right" vertical="center"/>
    </xf>
    <xf numFmtId="0" fontId="12" fillId="4" borderId="23" xfId="0" applyFont="1" applyFill="1" applyBorder="1"/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64" fontId="3" fillId="2" borderId="26" xfId="0" applyNumberFormat="1" applyFont="1" applyFill="1" applyBorder="1" applyAlignment="1">
      <alignment horizontal="right" vertical="center"/>
    </xf>
    <xf numFmtId="0" fontId="10" fillId="0" borderId="24" xfId="0" applyFont="1" applyBorder="1"/>
    <xf numFmtId="164" fontId="9" fillId="4" borderId="29" xfId="0" applyNumberFormat="1" applyFont="1" applyFill="1" applyBorder="1" applyAlignment="1">
      <alignment horizontal="right" vertical="center"/>
    </xf>
    <xf numFmtId="164" fontId="9" fillId="4" borderId="27" xfId="0" applyNumberFormat="1" applyFont="1" applyFill="1" applyBorder="1" applyAlignment="1">
      <alignment horizontal="right" vertical="center"/>
    </xf>
    <xf numFmtId="0" fontId="12" fillId="4" borderId="30" xfId="0" applyFont="1" applyFill="1" applyBorder="1"/>
    <xf numFmtId="164" fontId="3" fillId="0" borderId="9" xfId="0" applyNumberFormat="1" applyFont="1" applyBorder="1" applyAlignment="1">
      <alignment horizontal="center"/>
    </xf>
    <xf numFmtId="164" fontId="9" fillId="4" borderId="38" xfId="0" applyNumberFormat="1" applyFont="1" applyFill="1" applyBorder="1" applyAlignment="1">
      <alignment horizontal="right" vertical="center"/>
    </xf>
    <xf numFmtId="164" fontId="9" fillId="4" borderId="36" xfId="0" applyNumberFormat="1" applyFont="1" applyFill="1" applyBorder="1" applyAlignment="1">
      <alignment horizontal="right" vertical="center"/>
    </xf>
    <xf numFmtId="0" fontId="12" fillId="4" borderId="39" xfId="0" applyFont="1" applyFill="1" applyBorder="1"/>
    <xf numFmtId="17" fontId="3" fillId="2" borderId="25" xfId="0" quotePrefix="1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" fontId="3" fillId="2" borderId="17" xfId="0" quotePrefix="1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right" vertical="center"/>
    </xf>
    <xf numFmtId="17" fontId="3" fillId="2" borderId="17" xfId="0" applyNumberFormat="1" applyFont="1" applyFill="1" applyBorder="1" applyAlignment="1">
      <alignment horizontal="center" vertical="center"/>
    </xf>
    <xf numFmtId="164" fontId="9" fillId="5" borderId="36" xfId="0" applyNumberFormat="1" applyFont="1" applyFill="1" applyBorder="1" applyAlignment="1">
      <alignment horizontal="right" vertical="center"/>
    </xf>
    <xf numFmtId="0" fontId="12" fillId="5" borderId="39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5" xfId="0" applyFont="1" applyBorder="1"/>
    <xf numFmtId="0" fontId="3" fillId="6" borderId="5" xfId="0" applyFont="1" applyFill="1" applyBorder="1"/>
    <xf numFmtId="0" fontId="3" fillId="7" borderId="9" xfId="0" applyFont="1" applyFill="1" applyBorder="1" applyAlignment="1">
      <alignment horizontal="center" vertical="center"/>
    </xf>
    <xf numFmtId="0" fontId="3" fillId="7" borderId="9" xfId="0" quotePrefix="1" applyFont="1" applyFill="1" applyBorder="1" applyAlignment="1">
      <alignment horizontal="center" vertical="center"/>
    </xf>
    <xf numFmtId="0" fontId="3" fillId="8" borderId="9" xfId="0" quotePrefix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 vertical="center"/>
    </xf>
    <xf numFmtId="0" fontId="13" fillId="7" borderId="9" xfId="0" quotePrefix="1" applyFont="1" applyFill="1" applyBorder="1" applyAlignment="1">
      <alignment horizontal="center" vertical="center"/>
    </xf>
    <xf numFmtId="0" fontId="13" fillId="8" borderId="9" xfId="0" quotePrefix="1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wrapText="1"/>
    </xf>
    <xf numFmtId="0" fontId="11" fillId="7" borderId="9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left" vertical="center"/>
    </xf>
    <xf numFmtId="0" fontId="3" fillId="9" borderId="9" xfId="0" quotePrefix="1" applyFont="1" applyFill="1" applyBorder="1" applyAlignment="1">
      <alignment horizontal="center" vertical="center"/>
    </xf>
    <xf numFmtId="164" fontId="3" fillId="9" borderId="9" xfId="0" applyNumberFormat="1" applyFont="1" applyFill="1" applyBorder="1" applyAlignment="1">
      <alignment horizontal="left" vertical="center"/>
    </xf>
    <xf numFmtId="164" fontId="3" fillId="9" borderId="9" xfId="0" applyNumberFormat="1" applyFont="1" applyFill="1" applyBorder="1" applyAlignment="1">
      <alignment horizontal="right" vertical="center"/>
    </xf>
    <xf numFmtId="0" fontId="11" fillId="9" borderId="9" xfId="0" applyFont="1" applyFill="1" applyBorder="1" applyAlignment="1">
      <alignment horizontal="left"/>
    </xf>
    <xf numFmtId="0" fontId="0" fillId="8" borderId="0" xfId="0" applyFill="1"/>
    <xf numFmtId="0" fontId="11" fillId="8" borderId="9" xfId="0" applyFont="1" applyFill="1" applyBorder="1" applyAlignment="1">
      <alignment horizontal="center"/>
    </xf>
    <xf numFmtId="17" fontId="3" fillId="8" borderId="9" xfId="0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left" vertical="center"/>
    </xf>
    <xf numFmtId="164" fontId="3" fillId="8" borderId="9" xfId="0" applyNumberFormat="1" applyFont="1" applyFill="1" applyBorder="1" applyAlignment="1">
      <alignment horizontal="right" vertical="center"/>
    </xf>
    <xf numFmtId="0" fontId="10" fillId="8" borderId="9" xfId="0" applyFont="1" applyFill="1" applyBorder="1" applyAlignment="1">
      <alignment horizontal="left"/>
    </xf>
    <xf numFmtId="165" fontId="3" fillId="8" borderId="9" xfId="0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left"/>
    </xf>
    <xf numFmtId="0" fontId="16" fillId="10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left" vertical="center"/>
    </xf>
    <xf numFmtId="167" fontId="16" fillId="10" borderId="9" xfId="0" quotePrefix="1" applyNumberFormat="1" applyFont="1" applyFill="1" applyBorder="1" applyAlignment="1">
      <alignment horizontal="center"/>
    </xf>
    <xf numFmtId="164" fontId="16" fillId="10" borderId="9" xfId="0" applyNumberFormat="1" applyFont="1" applyFill="1" applyBorder="1" applyAlignment="1">
      <alignment horizontal="left" vertical="center"/>
    </xf>
    <xf numFmtId="164" fontId="16" fillId="10" borderId="9" xfId="0" applyNumberFormat="1" applyFont="1" applyFill="1" applyBorder="1" applyAlignment="1">
      <alignment horizontal="right" vertical="center"/>
    </xf>
    <xf numFmtId="0" fontId="17" fillId="10" borderId="9" xfId="0" applyFont="1" applyFill="1" applyBorder="1" applyAlignment="1">
      <alignment horizontal="left"/>
    </xf>
    <xf numFmtId="0" fontId="18" fillId="8" borderId="0" xfId="0" applyFont="1" applyFill="1"/>
    <xf numFmtId="0" fontId="16" fillId="8" borderId="9" xfId="0" applyFont="1" applyFill="1" applyBorder="1" applyAlignment="1">
      <alignment horizontal="center" vertical="center"/>
    </xf>
    <xf numFmtId="17" fontId="16" fillId="8" borderId="9" xfId="0" applyNumberFormat="1" applyFont="1" applyFill="1" applyBorder="1" applyAlignment="1">
      <alignment horizontal="center" vertical="center"/>
    </xf>
    <xf numFmtId="164" fontId="16" fillId="8" borderId="9" xfId="0" applyNumberFormat="1" applyFont="1" applyFill="1" applyBorder="1" applyAlignment="1">
      <alignment horizontal="left" vertical="center"/>
    </xf>
    <xf numFmtId="164" fontId="16" fillId="8" borderId="9" xfId="0" applyNumberFormat="1" applyFont="1" applyFill="1" applyBorder="1" applyAlignment="1">
      <alignment horizontal="right" vertical="center"/>
    </xf>
    <xf numFmtId="0" fontId="17" fillId="8" borderId="9" xfId="0" applyFont="1" applyFill="1" applyBorder="1" applyAlignment="1">
      <alignment horizontal="left"/>
    </xf>
    <xf numFmtId="0" fontId="16" fillId="3" borderId="14" xfId="0" applyFont="1" applyFill="1" applyBorder="1" applyAlignment="1">
      <alignment horizontal="center" vertical="center"/>
    </xf>
    <xf numFmtId="165" fontId="16" fillId="8" borderId="9" xfId="0" applyNumberFormat="1" applyFont="1" applyFill="1" applyBorder="1" applyAlignment="1">
      <alignment horizontal="center" vertical="center"/>
    </xf>
    <xf numFmtId="164" fontId="16" fillId="8" borderId="9" xfId="0" applyNumberFormat="1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left"/>
    </xf>
    <xf numFmtId="0" fontId="16" fillId="8" borderId="9" xfId="0" quotePrefix="1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17" fontId="16" fillId="11" borderId="9" xfId="0" quotePrefix="1" applyNumberFormat="1" applyFont="1" applyFill="1" applyBorder="1" applyAlignment="1">
      <alignment horizontal="center" vertical="center"/>
    </xf>
    <xf numFmtId="164" fontId="16" fillId="11" borderId="9" xfId="0" applyNumberFormat="1" applyFont="1" applyFill="1" applyBorder="1" applyAlignment="1">
      <alignment horizontal="left" vertical="center"/>
    </xf>
    <xf numFmtId="164" fontId="16" fillId="11" borderId="9" xfId="0" applyNumberFormat="1" applyFont="1" applyFill="1" applyBorder="1" applyAlignment="1">
      <alignment horizontal="right" vertical="center"/>
    </xf>
    <xf numFmtId="0" fontId="17" fillId="11" borderId="9" xfId="0" applyFont="1" applyFill="1" applyBorder="1" applyAlignment="1">
      <alignment horizontal="left"/>
    </xf>
    <xf numFmtId="0" fontId="16" fillId="8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left"/>
    </xf>
    <xf numFmtId="0" fontId="1" fillId="12" borderId="9" xfId="0" applyFont="1" applyFill="1" applyBorder="1" applyAlignment="1">
      <alignment horizontal="center"/>
    </xf>
    <xf numFmtId="0" fontId="16" fillId="12" borderId="9" xfId="0" applyFont="1" applyFill="1" applyBorder="1" applyAlignment="1">
      <alignment horizontal="center" vertical="center"/>
    </xf>
    <xf numFmtId="165" fontId="1" fillId="12" borderId="9" xfId="0" applyNumberFormat="1" applyFont="1" applyFill="1" applyBorder="1" applyAlignment="1">
      <alignment horizontal="center"/>
    </xf>
    <xf numFmtId="164" fontId="1" fillId="12" borderId="9" xfId="0" applyNumberFormat="1" applyFont="1" applyFill="1" applyBorder="1" applyAlignment="1">
      <alignment horizontal="left"/>
    </xf>
    <xf numFmtId="164" fontId="16" fillId="12" borderId="9" xfId="0" applyNumberFormat="1" applyFont="1" applyFill="1" applyBorder="1" applyAlignment="1">
      <alignment horizontal="right" vertical="center"/>
    </xf>
    <xf numFmtId="0" fontId="16" fillId="12" borderId="9" xfId="0" applyFont="1" applyFill="1" applyBorder="1" applyAlignment="1">
      <alignment horizontal="left"/>
    </xf>
    <xf numFmtId="0" fontId="8" fillId="7" borderId="9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 wrapText="1"/>
    </xf>
    <xf numFmtId="0" fontId="10" fillId="7" borderId="9" xfId="0" quotePrefix="1" applyFont="1" applyFill="1" applyBorder="1" applyAlignment="1">
      <alignment horizontal="center" wrapText="1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165" fontId="11" fillId="8" borderId="9" xfId="0" applyNumberFormat="1" applyFont="1" applyFill="1" applyBorder="1" applyAlignment="1">
      <alignment horizontal="center"/>
    </xf>
    <xf numFmtId="164" fontId="8" fillId="9" borderId="9" xfId="0" applyNumberFormat="1" applyFont="1" applyFill="1" applyBorder="1" applyAlignment="1">
      <alignment horizontal="left"/>
    </xf>
    <xf numFmtId="0" fontId="8" fillId="9" borderId="9" xfId="0" applyFont="1" applyFill="1" applyBorder="1" applyAlignment="1">
      <alignment horizontal="left"/>
    </xf>
    <xf numFmtId="164" fontId="11" fillId="8" borderId="9" xfId="0" applyNumberFormat="1" applyFont="1" applyFill="1" applyBorder="1" applyAlignment="1">
      <alignment horizontal="left"/>
    </xf>
    <xf numFmtId="17" fontId="3" fillId="8" borderId="9" xfId="0" quotePrefix="1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left" vertical="center"/>
    </xf>
    <xf numFmtId="0" fontId="3" fillId="13" borderId="9" xfId="0" applyFont="1" applyFill="1" applyBorder="1" applyAlignment="1">
      <alignment horizontal="center" vertical="center"/>
    </xf>
    <xf numFmtId="17" fontId="3" fillId="13" borderId="9" xfId="0" applyNumberFormat="1" applyFont="1" applyFill="1" applyBorder="1" applyAlignment="1">
      <alignment horizontal="center" vertical="center"/>
    </xf>
    <xf numFmtId="164" fontId="3" fillId="13" borderId="9" xfId="0" applyNumberFormat="1" applyFont="1" applyFill="1" applyBorder="1" applyAlignment="1">
      <alignment horizontal="right" vertical="center"/>
    </xf>
    <xf numFmtId="164" fontId="3" fillId="13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/>
    <xf numFmtId="0" fontId="16" fillId="8" borderId="9" xfId="0" applyFont="1" applyFill="1" applyBorder="1" applyAlignment="1">
      <alignment horizontal="left" vertical="center"/>
    </xf>
    <xf numFmtId="49" fontId="16" fillId="8" borderId="9" xfId="0" applyNumberFormat="1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164" fontId="16" fillId="8" borderId="9" xfId="0" applyNumberFormat="1" applyFont="1" applyFill="1" applyBorder="1" applyAlignment="1">
      <alignment vertical="center" wrapText="1"/>
    </xf>
    <xf numFmtId="49" fontId="16" fillId="8" borderId="9" xfId="0" quotePrefix="1" applyNumberFormat="1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15" fontId="16" fillId="13" borderId="9" xfId="0" applyNumberFormat="1" applyFont="1" applyFill="1" applyBorder="1" applyAlignment="1">
      <alignment horizontal="center" vertical="center"/>
    </xf>
    <xf numFmtId="164" fontId="16" fillId="8" borderId="0" xfId="0" applyNumberFormat="1" applyFont="1" applyFill="1"/>
    <xf numFmtId="0" fontId="16" fillId="8" borderId="10" xfId="0" applyFont="1" applyFill="1" applyBorder="1"/>
    <xf numFmtId="17" fontId="16" fillId="13" borderId="9" xfId="0" quotePrefix="1" applyNumberFormat="1" applyFont="1" applyFill="1" applyBorder="1" applyAlignment="1">
      <alignment horizontal="center" vertical="center"/>
    </xf>
    <xf numFmtId="164" fontId="16" fillId="13" borderId="9" xfId="0" applyNumberFormat="1" applyFont="1" applyFill="1" applyBorder="1" applyAlignment="1">
      <alignment horizontal="right" vertical="center"/>
    </xf>
    <xf numFmtId="0" fontId="17" fillId="8" borderId="9" xfId="0" applyFont="1" applyFill="1" applyBorder="1"/>
    <xf numFmtId="17" fontId="16" fillId="13" borderId="9" xfId="0" applyNumberFormat="1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17" fontId="16" fillId="8" borderId="17" xfId="0" applyNumberFormat="1" applyFont="1" applyFill="1" applyBorder="1" applyAlignment="1">
      <alignment horizontal="center" vertical="center"/>
    </xf>
    <xf numFmtId="0" fontId="17" fillId="8" borderId="14" xfId="0" applyFont="1" applyFill="1" applyBorder="1"/>
    <xf numFmtId="0" fontId="16" fillId="8" borderId="11" xfId="0" applyFont="1" applyFill="1" applyBorder="1" applyAlignment="1">
      <alignment horizontal="left" vertical="center"/>
    </xf>
    <xf numFmtId="49" fontId="16" fillId="8" borderId="16" xfId="0" quotePrefix="1" applyNumberFormat="1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164" fontId="16" fillId="8" borderId="16" xfId="0" applyNumberFormat="1" applyFont="1" applyFill="1" applyBorder="1" applyAlignment="1">
      <alignment horizontal="right" vertical="center"/>
    </xf>
    <xf numFmtId="165" fontId="1" fillId="8" borderId="13" xfId="0" applyNumberFormat="1" applyFont="1" applyFill="1" applyBorder="1"/>
    <xf numFmtId="0" fontId="1" fillId="8" borderId="13" xfId="0" applyFont="1" applyFill="1" applyBorder="1" applyAlignment="1">
      <alignment wrapText="1"/>
    </xf>
    <xf numFmtId="164" fontId="1" fillId="8" borderId="13" xfId="0" applyNumberFormat="1" applyFont="1" applyFill="1" applyBorder="1"/>
    <xf numFmtId="164" fontId="1" fillId="8" borderId="19" xfId="0" applyNumberFormat="1" applyFont="1" applyFill="1" applyBorder="1"/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167" fontId="3" fillId="8" borderId="24" xfId="0" quotePrefix="1" applyNumberFormat="1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 vertical="center"/>
    </xf>
    <xf numFmtId="164" fontId="3" fillId="8" borderId="24" xfId="0" applyNumberFormat="1" applyFont="1" applyFill="1" applyBorder="1" applyAlignment="1">
      <alignment horizontal="center"/>
    </xf>
    <xf numFmtId="164" fontId="3" fillId="13" borderId="26" xfId="0" applyNumberFormat="1" applyFont="1" applyFill="1" applyBorder="1" applyAlignment="1">
      <alignment horizontal="right" vertical="center"/>
    </xf>
    <xf numFmtId="0" fontId="10" fillId="8" borderId="24" xfId="0" applyFont="1" applyFill="1" applyBorder="1"/>
    <xf numFmtId="0" fontId="3" fillId="8" borderId="31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17" fontId="3" fillId="8" borderId="32" xfId="0" applyNumberFormat="1" applyFont="1" applyFill="1" applyBorder="1" applyAlignment="1">
      <alignment horizontal="center" vertical="center"/>
    </xf>
    <xf numFmtId="0" fontId="15" fillId="8" borderId="32" xfId="0" applyFont="1" applyFill="1" applyBorder="1" applyAlignment="1">
      <alignment horizontal="center" vertical="center"/>
    </xf>
    <xf numFmtId="164" fontId="3" fillId="8" borderId="32" xfId="0" applyNumberFormat="1" applyFont="1" applyFill="1" applyBorder="1" applyAlignment="1">
      <alignment horizontal="right" vertical="center"/>
    </xf>
    <xf numFmtId="164" fontId="3" fillId="8" borderId="34" xfId="0" applyNumberFormat="1" applyFont="1" applyFill="1" applyBorder="1" applyAlignment="1">
      <alignment horizontal="right" vertical="center"/>
    </xf>
    <xf numFmtId="0" fontId="10" fillId="8" borderId="31" xfId="0" applyFont="1" applyFill="1" applyBorder="1"/>
    <xf numFmtId="164" fontId="3" fillId="14" borderId="9" xfId="0" applyNumberFormat="1" applyFont="1" applyFill="1" applyBorder="1" applyAlignment="1">
      <alignment horizontal="right" vertical="center"/>
    </xf>
    <xf numFmtId="0" fontId="10" fillId="8" borderId="9" xfId="0" applyFont="1" applyFill="1" applyBorder="1"/>
    <xf numFmtId="15" fontId="3" fillId="13" borderId="9" xfId="0" applyNumberFormat="1" applyFont="1" applyFill="1" applyBorder="1" applyAlignment="1">
      <alignment horizontal="center" vertical="center"/>
    </xf>
    <xf numFmtId="17" fontId="3" fillId="13" borderId="9" xfId="0" quotePrefix="1" applyNumberFormat="1" applyFont="1" applyFill="1" applyBorder="1" applyAlignment="1">
      <alignment horizontal="center" vertical="center"/>
    </xf>
    <xf numFmtId="0" fontId="3" fillId="8" borderId="9" xfId="0" applyFont="1" applyFill="1" applyBorder="1"/>
    <xf numFmtId="0" fontId="3" fillId="8" borderId="14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7" fontId="3" fillId="8" borderId="17" xfId="0" applyNumberFormat="1" applyFont="1" applyFill="1" applyBorder="1" applyAlignment="1">
      <alignment horizontal="center" vertical="center"/>
    </xf>
    <xf numFmtId="0" fontId="10" fillId="8" borderId="23" xfId="0" applyFont="1" applyFill="1" applyBorder="1"/>
    <xf numFmtId="0" fontId="3" fillId="6" borderId="9" xfId="0" applyFont="1" applyFill="1" applyBorder="1" applyAlignment="1">
      <alignment horizontal="center" vertical="center"/>
    </xf>
    <xf numFmtId="17" fontId="3" fillId="8" borderId="17" xfId="0" quotePrefix="1" applyNumberFormat="1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164" fontId="16" fillId="8" borderId="17" xfId="0" applyNumberFormat="1" applyFont="1" applyFill="1" applyBorder="1" applyAlignment="1">
      <alignment horizontal="right" vertical="center"/>
    </xf>
    <xf numFmtId="164" fontId="16" fillId="8" borderId="34" xfId="0" applyNumberFormat="1" applyFont="1" applyFill="1" applyBorder="1" applyAlignment="1">
      <alignment horizontal="right" vertical="center"/>
    </xf>
    <xf numFmtId="165" fontId="16" fillId="8" borderId="9" xfId="0" applyNumberFormat="1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164" fontId="1" fillId="8" borderId="0" xfId="0" applyNumberFormat="1" applyFont="1" applyFill="1" applyAlignment="1">
      <alignment horizontal="center"/>
    </xf>
    <xf numFmtId="0" fontId="16" fillId="8" borderId="9" xfId="0" applyFont="1" applyFill="1" applyBorder="1"/>
    <xf numFmtId="17" fontId="16" fillId="8" borderId="9" xfId="0" applyNumberFormat="1" applyFont="1" applyFill="1" applyBorder="1" applyAlignment="1">
      <alignment horizontal="center"/>
    </xf>
    <xf numFmtId="164" fontId="16" fillId="8" borderId="9" xfId="0" applyNumberFormat="1" applyFont="1" applyFill="1" applyBorder="1"/>
    <xf numFmtId="0" fontId="16" fillId="7" borderId="9" xfId="0" quotePrefix="1" applyFont="1" applyFill="1" applyBorder="1" applyAlignment="1">
      <alignment horizontal="center" vertical="center"/>
    </xf>
    <xf numFmtId="0" fontId="17" fillId="13" borderId="9" xfId="0" applyFont="1" applyFill="1" applyBorder="1"/>
    <xf numFmtId="0" fontId="3" fillId="2" borderId="4" xfId="0" applyFont="1" applyFill="1" applyBorder="1"/>
    <xf numFmtId="0" fontId="9" fillId="2" borderId="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3" fillId="3" borderId="9" xfId="0" quotePrefix="1" applyFont="1" applyFill="1" applyBorder="1" applyAlignment="1">
      <alignment horizontal="center" vertical="center"/>
    </xf>
    <xf numFmtId="39" fontId="3" fillId="3" borderId="9" xfId="0" applyNumberFormat="1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left"/>
    </xf>
    <xf numFmtId="39" fontId="3" fillId="3" borderId="9" xfId="0" applyNumberFormat="1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horizontal="left"/>
    </xf>
    <xf numFmtId="17" fontId="3" fillId="3" borderId="9" xfId="0" applyNumberFormat="1" applyFont="1" applyFill="1" applyBorder="1" applyAlignment="1">
      <alignment horizontal="center" vertical="center"/>
    </xf>
    <xf numFmtId="17" fontId="3" fillId="3" borderId="9" xfId="0" quotePrefix="1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vertical="center"/>
    </xf>
    <xf numFmtId="39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49" fontId="3" fillId="2" borderId="9" xfId="0" applyNumberFormat="1" applyFont="1" applyFill="1" applyBorder="1" applyAlignment="1">
      <alignment horizontal="center" vertical="center"/>
    </xf>
    <xf numFmtId="164" fontId="9" fillId="15" borderId="4" xfId="0" applyNumberFormat="1" applyFont="1" applyFill="1" applyBorder="1" applyAlignment="1">
      <alignment horizontal="right" vertical="center"/>
    </xf>
    <xf numFmtId="0" fontId="3" fillId="15" borderId="8" xfId="0" applyFont="1" applyFill="1" applyBorder="1"/>
    <xf numFmtId="165" fontId="3" fillId="3" borderId="9" xfId="0" quotePrefix="1" applyNumberFormat="1" applyFont="1" applyFill="1" applyBorder="1" applyAlignment="1">
      <alignment horizontal="center" vertical="center"/>
    </xf>
    <xf numFmtId="165" fontId="3" fillId="3" borderId="9" xfId="0" applyNumberFormat="1" applyFont="1" applyFill="1" applyBorder="1" applyAlignment="1">
      <alignment horizontal="center" vertical="center"/>
    </xf>
    <xf numFmtId="39" fontId="3" fillId="0" borderId="9" xfId="0" applyNumberFormat="1" applyFont="1" applyBorder="1" applyAlignment="1">
      <alignment vertical="center"/>
    </xf>
    <xf numFmtId="164" fontId="9" fillId="15" borderId="5" xfId="0" applyNumberFormat="1" applyFont="1" applyFill="1" applyBorder="1" applyAlignment="1">
      <alignment horizontal="right" vertical="center"/>
    </xf>
    <xf numFmtId="0" fontId="9" fillId="15" borderId="8" xfId="0" applyFont="1" applyFill="1" applyBorder="1"/>
    <xf numFmtId="0" fontId="3" fillId="2" borderId="9" xfId="0" applyFont="1" applyFill="1" applyBorder="1" applyAlignment="1">
      <alignment horizontal="left" vertical="center"/>
    </xf>
    <xf numFmtId="169" fontId="3" fillId="0" borderId="9" xfId="0" applyNumberFormat="1" applyFont="1" applyBorder="1" applyAlignment="1">
      <alignment horizontal="center"/>
    </xf>
    <xf numFmtId="39" fontId="3" fillId="2" borderId="9" xfId="0" applyNumberFormat="1" applyFont="1" applyFill="1" applyBorder="1" applyAlignment="1">
      <alignment horizontal="right" vertical="center"/>
    </xf>
    <xf numFmtId="0" fontId="3" fillId="2" borderId="9" xfId="0" applyFont="1" applyFill="1" applyBorder="1"/>
    <xf numFmtId="39" fontId="3" fillId="0" borderId="9" xfId="0" applyNumberFormat="1" applyFont="1" applyBorder="1" applyAlignment="1">
      <alignment horizontal="right" vertical="center"/>
    </xf>
    <xf numFmtId="39" fontId="9" fillId="16" borderId="5" xfId="0" applyNumberFormat="1" applyFont="1" applyFill="1" applyBorder="1" applyAlignment="1">
      <alignment horizontal="right" vertical="center"/>
    </xf>
    <xf numFmtId="39" fontId="9" fillId="16" borderId="4" xfId="0" applyNumberFormat="1" applyFont="1" applyFill="1" applyBorder="1" applyAlignment="1">
      <alignment horizontal="right" vertical="center"/>
    </xf>
    <xf numFmtId="0" fontId="9" fillId="16" borderId="8" xfId="0" applyFont="1" applyFill="1" applyBorder="1"/>
    <xf numFmtId="39" fontId="9" fillId="15" borderId="5" xfId="0" applyNumberFormat="1" applyFont="1" applyFill="1" applyBorder="1" applyAlignment="1">
      <alignment horizontal="right" vertical="center"/>
    </xf>
    <xf numFmtId="12" fontId="3" fillId="2" borderId="9" xfId="0" applyNumberFormat="1" applyFont="1" applyFill="1" applyBorder="1" applyAlignment="1">
      <alignment horizontal="right" vertical="center"/>
    </xf>
    <xf numFmtId="39" fontId="9" fillId="15" borderId="22" xfId="0" applyNumberFormat="1" applyFont="1" applyFill="1" applyBorder="1" applyAlignment="1">
      <alignment horizontal="right" vertical="center"/>
    </xf>
    <xf numFmtId="164" fontId="9" fillId="15" borderId="20" xfId="0" applyNumberFormat="1" applyFont="1" applyFill="1" applyBorder="1" applyAlignment="1">
      <alignment horizontal="right" vertical="center"/>
    </xf>
    <xf numFmtId="0" fontId="9" fillId="15" borderId="23" xfId="0" applyFont="1" applyFill="1" applyBorder="1"/>
    <xf numFmtId="164" fontId="9" fillId="17" borderId="36" xfId="0" applyNumberFormat="1" applyFont="1" applyFill="1" applyBorder="1" applyAlignment="1">
      <alignment horizontal="right" vertical="center"/>
    </xf>
    <xf numFmtId="0" fontId="9" fillId="17" borderId="39" xfId="0" applyFont="1" applyFill="1" applyBorder="1"/>
    <xf numFmtId="0" fontId="3" fillId="18" borderId="9" xfId="0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42" xfId="0" applyFont="1" applyFill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/>
    </xf>
    <xf numFmtId="0" fontId="16" fillId="8" borderId="10" xfId="0" applyFont="1" applyFill="1" applyBorder="1" applyAlignment="1">
      <alignment horizontal="left" vertical="center"/>
    </xf>
    <xf numFmtId="0" fontId="16" fillId="11" borderId="10" xfId="0" applyFont="1" applyFill="1" applyBorder="1" applyAlignment="1">
      <alignment horizontal="left" vertical="center"/>
    </xf>
    <xf numFmtId="0" fontId="16" fillId="8" borderId="10" xfId="0" applyFont="1" applyFill="1" applyBorder="1" applyAlignment="1">
      <alignment horizontal="left"/>
    </xf>
    <xf numFmtId="0" fontId="1" fillId="12" borderId="10" xfId="0" applyFont="1" applyFill="1" applyBorder="1" applyAlignment="1">
      <alignment horizontal="left"/>
    </xf>
    <xf numFmtId="0" fontId="11" fillId="0" borderId="10" xfId="0" applyFont="1" applyBorder="1" applyAlignment="1">
      <alignment horizontal="left" wrapText="1"/>
    </xf>
    <xf numFmtId="0" fontId="10" fillId="8" borderId="10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11" fillId="9" borderId="10" xfId="0" applyFont="1" applyFill="1" applyBorder="1" applyAlignment="1">
      <alignment horizontal="left"/>
    </xf>
    <xf numFmtId="0" fontId="10" fillId="8" borderId="10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left" vertical="center"/>
    </xf>
    <xf numFmtId="49" fontId="16" fillId="8" borderId="10" xfId="0" applyNumberFormat="1" applyFont="1" applyFill="1" applyBorder="1" applyAlignment="1">
      <alignment horizontal="left" vertical="center" wrapText="1"/>
    </xf>
    <xf numFmtId="0" fontId="1" fillId="8" borderId="18" xfId="0" applyFont="1" applyFill="1" applyBorder="1"/>
    <xf numFmtId="0" fontId="1" fillId="8" borderId="18" xfId="0" applyFont="1" applyFill="1" applyBorder="1" applyAlignment="1">
      <alignment wrapText="1"/>
    </xf>
    <xf numFmtId="0" fontId="16" fillId="8" borderId="10" xfId="0" applyFont="1" applyFill="1" applyBorder="1" applyAlignment="1">
      <alignment horizontal="left" vertical="center" wrapText="1"/>
    </xf>
    <xf numFmtId="0" fontId="16" fillId="13" borderId="10" xfId="0" applyFont="1" applyFill="1" applyBorder="1" applyAlignment="1">
      <alignment horizontal="left" vertical="center"/>
    </xf>
    <xf numFmtId="0" fontId="11" fillId="0" borderId="18" xfId="0" applyFont="1" applyBorder="1"/>
    <xf numFmtId="0" fontId="11" fillId="0" borderId="18" xfId="0" applyFont="1" applyBorder="1" applyAlignment="1">
      <alignment wrapText="1"/>
    </xf>
    <xf numFmtId="0" fontId="3" fillId="13" borderId="26" xfId="0" applyFont="1" applyFill="1" applyBorder="1" applyAlignment="1">
      <alignment horizontal="left" vertical="center"/>
    </xf>
    <xf numFmtId="0" fontId="3" fillId="8" borderId="33" xfId="0" applyFont="1" applyFill="1" applyBorder="1" applyAlignment="1">
      <alignment horizontal="left" vertical="center"/>
    </xf>
    <xf numFmtId="0" fontId="3" fillId="8" borderId="35" xfId="0" applyFont="1" applyFill="1" applyBorder="1"/>
    <xf numFmtId="0" fontId="3" fillId="8" borderId="10" xfId="0" applyFont="1" applyFill="1" applyBorder="1"/>
    <xf numFmtId="0" fontId="16" fillId="8" borderId="34" xfId="0" applyFont="1" applyFill="1" applyBorder="1" applyAlignment="1">
      <alignment horizontal="left" vertical="center"/>
    </xf>
    <xf numFmtId="0" fontId="19" fillId="13" borderId="10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9" fillId="4" borderId="36" xfId="0" applyFont="1" applyFill="1" applyBorder="1" applyAlignment="1">
      <alignment horizontal="center" vertical="center"/>
    </xf>
    <xf numFmtId="0" fontId="1" fillId="0" borderId="37" xfId="0" applyFont="1" applyBorder="1"/>
    <xf numFmtId="0" fontId="1" fillId="0" borderId="38" xfId="0" applyFont="1" applyBorder="1"/>
    <xf numFmtId="0" fontId="9" fillId="5" borderId="3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9" fillId="4" borderId="4" xfId="0" applyFont="1" applyFill="1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9" fillId="4" borderId="20" xfId="0" applyFont="1" applyFill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9" fillId="4" borderId="27" xfId="0" applyFont="1" applyFill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3" fillId="2" borderId="10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6" xfId="0" applyFont="1" applyBorder="1"/>
    <xf numFmtId="0" fontId="3" fillId="0" borderId="10" xfId="0" applyFont="1" applyBorder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1" fillId="0" borderId="8" xfId="0" applyFont="1" applyBorder="1"/>
    <xf numFmtId="0" fontId="7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7" fillId="2" borderId="7" xfId="0" applyFont="1" applyFill="1" applyBorder="1" applyAlignment="1">
      <alignment horizontal="center" vertical="center" wrapText="1"/>
    </xf>
    <xf numFmtId="0" fontId="22" fillId="2" borderId="43" xfId="0" applyFont="1" applyFill="1" applyBorder="1" applyAlignment="1">
      <alignment horizontal="center"/>
    </xf>
    <xf numFmtId="0" fontId="23" fillId="0" borderId="44" xfId="0" applyFont="1" applyBorder="1"/>
    <xf numFmtId="0" fontId="23" fillId="0" borderId="45" xfId="0" applyFont="1" applyBorder="1"/>
    <xf numFmtId="0" fontId="22" fillId="2" borderId="42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46" xfId="0" applyFont="1" applyBorder="1" applyAlignment="1">
      <alignment vertic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22" fillId="2" borderId="42" xfId="0" applyFont="1" applyFill="1" applyBorder="1" applyAlignment="1">
      <alignment horizontal="center"/>
    </xf>
    <xf numFmtId="0" fontId="23" fillId="0" borderId="0" xfId="0" applyFont="1"/>
    <xf numFmtId="0" fontId="23" fillId="0" borderId="46" xfId="0" applyFont="1" applyBorder="1"/>
    <xf numFmtId="0" fontId="9" fillId="15" borderId="20" xfId="0" applyFont="1" applyFill="1" applyBorder="1" applyAlignment="1">
      <alignment horizontal="center" vertical="center"/>
    </xf>
    <xf numFmtId="0" fontId="9" fillId="17" borderId="37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9" fillId="16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1" fillId="0" borderId="41" xfId="0" applyFont="1" applyBorder="1"/>
    <xf numFmtId="0" fontId="9" fillId="2" borderId="1" xfId="0" applyFont="1" applyFill="1" applyBorder="1" applyAlignment="1">
      <alignment horizontal="center" vertical="center"/>
    </xf>
    <xf numFmtId="0" fontId="1" fillId="0" borderId="15" xfId="0" applyFont="1" applyBorder="1"/>
    <xf numFmtId="0" fontId="3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504267</xdr:colOff>
      <xdr:row>204</xdr:row>
      <xdr:rowOff>78441</xdr:rowOff>
    </xdr:from>
    <xdr:to>
      <xdr:col>2</xdr:col>
      <xdr:colOff>44982</xdr:colOff>
      <xdr:row>206</xdr:row>
      <xdr:rowOff>107781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EBEF1-1DD7-4360-89C6-A75B3640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67" y="41652265"/>
          <a:ext cx="560450" cy="343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0CFE-85AC-4E1B-943D-91E00F058339}">
  <dimension ref="A1:I235"/>
  <sheetViews>
    <sheetView tabSelected="1" view="pageBreakPreview" topLeftCell="A150" zoomScaleNormal="100" zoomScaleSheetLayoutView="100" workbookViewId="0">
      <selection activeCell="D150" sqref="D150"/>
    </sheetView>
  </sheetViews>
  <sheetFormatPr defaultColWidth="14.44140625" defaultRowHeight="15" customHeight="1" outlineLevelRow="1" x14ac:dyDescent="0.3"/>
  <cols>
    <col min="1" max="1" width="8.109375" customWidth="1"/>
    <col min="2" max="2" width="7.109375" customWidth="1"/>
    <col min="3" max="3" width="106.44140625" bestFit="1" customWidth="1"/>
    <col min="4" max="4" width="12.21875" bestFit="1" customWidth="1"/>
    <col min="5" max="5" width="13.6640625" customWidth="1"/>
    <col min="6" max="6" width="17.44140625" customWidth="1"/>
    <col min="7" max="7" width="13.5546875" customWidth="1"/>
    <col min="8" max="8" width="17.88671875" customWidth="1"/>
    <col min="9" max="9" width="24" customWidth="1"/>
  </cols>
  <sheetData>
    <row r="1" spans="1:9" ht="15" customHeight="1" x14ac:dyDescent="0.3">
      <c r="A1" s="351" t="s">
        <v>829</v>
      </c>
      <c r="B1" s="352"/>
      <c r="C1" s="352"/>
      <c r="D1" s="352"/>
      <c r="E1" s="352"/>
      <c r="F1" s="352"/>
      <c r="G1" s="352"/>
      <c r="H1" s="352"/>
      <c r="I1" s="353"/>
    </row>
    <row r="2" spans="1:9" ht="15" customHeight="1" x14ac:dyDescent="0.3">
      <c r="A2" s="361" t="s">
        <v>830</v>
      </c>
      <c r="B2" s="362"/>
      <c r="C2" s="362"/>
      <c r="D2" s="362"/>
      <c r="E2" s="362"/>
      <c r="F2" s="362"/>
      <c r="G2" s="362"/>
      <c r="H2" s="362"/>
      <c r="I2" s="363"/>
    </row>
    <row r="3" spans="1:9" ht="15" customHeight="1" x14ac:dyDescent="0.3">
      <c r="A3" s="354" t="s">
        <v>831</v>
      </c>
      <c r="B3" s="355"/>
      <c r="C3" s="355"/>
      <c r="D3" s="355"/>
      <c r="E3" s="355"/>
      <c r="F3" s="355"/>
      <c r="G3" s="355"/>
      <c r="H3" s="355"/>
      <c r="I3" s="356"/>
    </row>
    <row r="4" spans="1:9" ht="15" customHeight="1" x14ac:dyDescent="0.3">
      <c r="A4" s="357"/>
      <c r="B4" s="331"/>
      <c r="C4" s="331"/>
      <c r="D4" s="331"/>
      <c r="E4" s="331"/>
      <c r="F4" s="331"/>
      <c r="G4" s="331"/>
      <c r="H4" s="331"/>
      <c r="I4" s="332"/>
    </row>
    <row r="5" spans="1:9" ht="15" customHeight="1" x14ac:dyDescent="0.3">
      <c r="A5" s="284"/>
      <c r="B5" s="7"/>
      <c r="C5" s="7"/>
      <c r="D5" s="7"/>
      <c r="E5" s="7"/>
      <c r="F5" s="8"/>
      <c r="G5" s="358"/>
      <c r="H5" s="331"/>
      <c r="I5" s="6"/>
    </row>
    <row r="6" spans="1:9" ht="15" customHeight="1" x14ac:dyDescent="0.3">
      <c r="A6" s="359" t="s">
        <v>832</v>
      </c>
      <c r="B6" s="331"/>
      <c r="C6" s="331"/>
      <c r="D6" s="331"/>
      <c r="E6" s="331"/>
      <c r="F6" s="331"/>
      <c r="G6" s="331"/>
      <c r="H6" s="331"/>
      <c r="I6" s="332"/>
    </row>
    <row r="7" spans="1:9" ht="15" customHeight="1" x14ac:dyDescent="0.3">
      <c r="A7" s="360" t="s">
        <v>0</v>
      </c>
      <c r="B7" s="331"/>
      <c r="C7" s="331"/>
      <c r="D7" s="331"/>
      <c r="E7" s="331"/>
      <c r="F7" s="331"/>
      <c r="G7" s="331"/>
      <c r="H7" s="331"/>
      <c r="I7" s="332"/>
    </row>
    <row r="8" spans="1:9" ht="15" customHeight="1" x14ac:dyDescent="0.3">
      <c r="A8" s="242"/>
      <c r="B8" s="4"/>
      <c r="C8" s="4"/>
      <c r="D8" s="4"/>
      <c r="E8" s="4"/>
      <c r="F8" s="4"/>
      <c r="G8" s="4"/>
      <c r="H8" s="4"/>
      <c r="I8" s="6"/>
    </row>
    <row r="9" spans="1:9" ht="15" customHeight="1" x14ac:dyDescent="0.3">
      <c r="A9" s="1"/>
      <c r="B9" s="2"/>
      <c r="C9" s="3"/>
      <c r="D9" s="2"/>
      <c r="E9" s="2"/>
      <c r="F9" s="2"/>
      <c r="G9" s="5"/>
      <c r="H9" s="5"/>
      <c r="I9" s="103"/>
    </row>
    <row r="10" spans="1:9" ht="15" customHeight="1" x14ac:dyDescent="0.3">
      <c r="A10" s="1"/>
      <c r="B10" s="2"/>
      <c r="C10" s="3"/>
      <c r="D10" s="2"/>
      <c r="E10" s="2"/>
      <c r="F10" s="2"/>
      <c r="G10" s="5"/>
      <c r="H10" s="5"/>
      <c r="I10" s="6"/>
    </row>
    <row r="11" spans="1:9" ht="15" customHeight="1" x14ac:dyDescent="0.3">
      <c r="A11" s="344" t="s">
        <v>1</v>
      </c>
      <c r="B11" s="344" t="s">
        <v>2</v>
      </c>
      <c r="C11" s="346" t="s">
        <v>3</v>
      </c>
      <c r="D11" s="10" t="s">
        <v>4</v>
      </c>
      <c r="E11" s="10" t="s">
        <v>5</v>
      </c>
      <c r="F11" s="10" t="s">
        <v>6</v>
      </c>
      <c r="G11" s="11" t="s">
        <v>2</v>
      </c>
      <c r="H11" s="12" t="s">
        <v>7</v>
      </c>
      <c r="I11" s="350" t="s">
        <v>8</v>
      </c>
    </row>
    <row r="12" spans="1:9" ht="15" customHeight="1" x14ac:dyDescent="0.3">
      <c r="A12" s="345"/>
      <c r="B12" s="345"/>
      <c r="C12" s="349"/>
      <c r="D12" s="14" t="s">
        <v>9</v>
      </c>
      <c r="E12" s="14" t="s">
        <v>10</v>
      </c>
      <c r="F12" s="14" t="s">
        <v>11</v>
      </c>
      <c r="G12" s="15" t="s">
        <v>12</v>
      </c>
      <c r="H12" s="16" t="s">
        <v>12</v>
      </c>
      <c r="I12" s="345"/>
    </row>
    <row r="13" spans="1:9" ht="15.75" customHeight="1" outlineLevel="1" x14ac:dyDescent="0.3">
      <c r="A13" s="17">
        <v>1</v>
      </c>
      <c r="B13" s="17" t="s">
        <v>13</v>
      </c>
      <c r="C13" s="285" t="s">
        <v>14</v>
      </c>
      <c r="D13" s="17"/>
      <c r="E13" s="18">
        <v>45525</v>
      </c>
      <c r="F13" s="104" t="s">
        <v>16</v>
      </c>
      <c r="G13" s="19">
        <v>99000</v>
      </c>
      <c r="H13" s="19">
        <f>A13*G13</f>
        <v>99000</v>
      </c>
      <c r="I13" s="20" t="s">
        <v>17</v>
      </c>
    </row>
    <row r="14" spans="1:9" ht="15" customHeight="1" outlineLevel="1" x14ac:dyDescent="0.3">
      <c r="A14" s="22">
        <v>2</v>
      </c>
      <c r="B14" s="22" t="s">
        <v>18</v>
      </c>
      <c r="C14" s="376" t="s">
        <v>19</v>
      </c>
      <c r="D14" s="17"/>
      <c r="E14" s="22">
        <v>2022</v>
      </c>
      <c r="F14" s="105" t="s">
        <v>20</v>
      </c>
      <c r="G14" s="23">
        <v>74950</v>
      </c>
      <c r="H14" s="19">
        <f>A14*G14</f>
        <v>149900</v>
      </c>
      <c r="I14" s="20" t="s">
        <v>21</v>
      </c>
    </row>
    <row r="15" spans="1:9" ht="16.5" customHeight="1" outlineLevel="1" x14ac:dyDescent="0.3">
      <c r="A15" s="17">
        <v>1</v>
      </c>
      <c r="B15" s="17" t="s">
        <v>22</v>
      </c>
      <c r="C15" s="285" t="s">
        <v>23</v>
      </c>
      <c r="D15" s="17"/>
      <c r="E15" s="24">
        <v>40148</v>
      </c>
      <c r="F15" s="106" t="s">
        <v>24</v>
      </c>
      <c r="G15" s="19">
        <v>0</v>
      </c>
      <c r="H15" s="19">
        <f>A15*G15</f>
        <v>0</v>
      </c>
      <c r="I15" s="20" t="s">
        <v>25</v>
      </c>
    </row>
    <row r="16" spans="1:9" ht="16.5" customHeight="1" outlineLevel="1" x14ac:dyDescent="0.3">
      <c r="A16" s="22">
        <v>1</v>
      </c>
      <c r="B16" s="22" t="s">
        <v>13</v>
      </c>
      <c r="C16" s="376" t="s">
        <v>26</v>
      </c>
      <c r="D16" s="17"/>
      <c r="E16" s="22">
        <v>2022</v>
      </c>
      <c r="F16" s="107" t="s">
        <v>27</v>
      </c>
      <c r="G16" s="23">
        <v>109950</v>
      </c>
      <c r="H16" s="19">
        <f>A16*G16</f>
        <v>109950</v>
      </c>
      <c r="I16" s="20" t="s">
        <v>28</v>
      </c>
    </row>
    <row r="17" spans="1:9" ht="16.5" customHeight="1" outlineLevel="1" x14ac:dyDescent="0.3">
      <c r="A17" s="22">
        <v>1</v>
      </c>
      <c r="B17" s="22" t="s">
        <v>13</v>
      </c>
      <c r="C17" s="285" t="s">
        <v>29</v>
      </c>
      <c r="D17" s="17"/>
      <c r="E17" s="26">
        <v>45461</v>
      </c>
      <c r="F17" s="107" t="s">
        <v>30</v>
      </c>
      <c r="G17" s="23">
        <v>149850</v>
      </c>
      <c r="H17" s="19">
        <f>A17*G17</f>
        <v>149850</v>
      </c>
      <c r="I17" s="20" t="s">
        <v>31</v>
      </c>
    </row>
    <row r="18" spans="1:9" ht="16.5" customHeight="1" outlineLevel="1" x14ac:dyDescent="0.3">
      <c r="A18" s="22">
        <v>1</v>
      </c>
      <c r="B18" s="22" t="s">
        <v>13</v>
      </c>
      <c r="C18" s="376" t="s">
        <v>32</v>
      </c>
      <c r="D18" s="17"/>
      <c r="E18" s="26">
        <v>45461</v>
      </c>
      <c r="F18" s="107" t="s">
        <v>33</v>
      </c>
      <c r="G18" s="23">
        <v>149545</v>
      </c>
      <c r="H18" s="19">
        <f>A18*G18</f>
        <v>149545</v>
      </c>
      <c r="I18" s="20" t="s">
        <v>31</v>
      </c>
    </row>
    <row r="19" spans="1:9" ht="16.5" customHeight="1" outlineLevel="1" x14ac:dyDescent="0.3">
      <c r="A19" s="17">
        <v>1</v>
      </c>
      <c r="B19" s="17" t="s">
        <v>13</v>
      </c>
      <c r="C19" s="376" t="s">
        <v>34</v>
      </c>
      <c r="D19" s="17"/>
      <c r="E19" s="22">
        <v>2024</v>
      </c>
      <c r="F19" s="107" t="s">
        <v>35</v>
      </c>
      <c r="G19" s="23">
        <v>99750</v>
      </c>
      <c r="H19" s="19">
        <f>A19*G19</f>
        <v>99750</v>
      </c>
      <c r="I19" s="20" t="s">
        <v>36</v>
      </c>
    </row>
    <row r="20" spans="1:9" ht="16.5" customHeight="1" outlineLevel="1" x14ac:dyDescent="0.3">
      <c r="A20" s="17">
        <v>2</v>
      </c>
      <c r="B20" s="17" t="s">
        <v>13</v>
      </c>
      <c r="C20" s="376" t="s">
        <v>37</v>
      </c>
      <c r="D20" s="22"/>
      <c r="E20" s="22"/>
      <c r="F20" s="106" t="s">
        <v>38</v>
      </c>
      <c r="G20" s="23"/>
      <c r="H20" s="19">
        <f>A20*G20</f>
        <v>0</v>
      </c>
      <c r="I20" s="20" t="s">
        <v>36</v>
      </c>
    </row>
    <row r="21" spans="1:9" ht="16.5" customHeight="1" outlineLevel="1" x14ac:dyDescent="0.3">
      <c r="A21" s="22">
        <v>1</v>
      </c>
      <c r="B21" s="22" t="s">
        <v>13</v>
      </c>
      <c r="C21" s="376" t="s">
        <v>39</v>
      </c>
      <c r="D21" s="17"/>
      <c r="E21" s="22">
        <v>2022</v>
      </c>
      <c r="F21" s="107" t="s">
        <v>40</v>
      </c>
      <c r="G21" s="23">
        <v>61950</v>
      </c>
      <c r="H21" s="19">
        <f>A21*G21</f>
        <v>61950</v>
      </c>
      <c r="I21" s="20" t="s">
        <v>41</v>
      </c>
    </row>
    <row r="22" spans="1:9" ht="16.5" customHeight="1" outlineLevel="1" x14ac:dyDescent="0.3">
      <c r="A22" s="22">
        <v>2</v>
      </c>
      <c r="B22" s="22" t="s">
        <v>13</v>
      </c>
      <c r="C22" s="376" t="s">
        <v>42</v>
      </c>
      <c r="D22" s="17"/>
      <c r="E22" s="27">
        <v>45777</v>
      </c>
      <c r="F22" s="107" t="s">
        <v>43</v>
      </c>
      <c r="G22" s="23">
        <v>172000</v>
      </c>
      <c r="H22" s="19">
        <f>A22*G22</f>
        <v>344000</v>
      </c>
      <c r="I22" s="20" t="s">
        <v>41</v>
      </c>
    </row>
    <row r="23" spans="1:9" ht="16.5" customHeight="1" outlineLevel="1" x14ac:dyDescent="0.3">
      <c r="A23" s="17">
        <v>1</v>
      </c>
      <c r="B23" s="17" t="s">
        <v>22</v>
      </c>
      <c r="C23" s="285" t="s">
        <v>44</v>
      </c>
      <c r="D23" s="17"/>
      <c r="E23" s="24">
        <v>41730</v>
      </c>
      <c r="F23" s="104" t="s">
        <v>45</v>
      </c>
      <c r="G23" s="19">
        <v>59000</v>
      </c>
      <c r="H23" s="19">
        <f>A23*G23</f>
        <v>59000</v>
      </c>
      <c r="I23" s="20" t="s">
        <v>46</v>
      </c>
    </row>
    <row r="24" spans="1:9" ht="16.5" customHeight="1" outlineLevel="1" x14ac:dyDescent="0.3">
      <c r="A24" s="17">
        <v>1</v>
      </c>
      <c r="B24" s="17" t="s">
        <v>13</v>
      </c>
      <c r="C24" s="285" t="s">
        <v>47</v>
      </c>
      <c r="D24" s="17"/>
      <c r="E24" s="24">
        <v>39783</v>
      </c>
      <c r="F24" s="28" t="s">
        <v>48</v>
      </c>
      <c r="G24" s="19">
        <v>100000</v>
      </c>
      <c r="H24" s="19">
        <f>A24*G24</f>
        <v>100000</v>
      </c>
      <c r="I24" s="20" t="s">
        <v>46</v>
      </c>
    </row>
    <row r="25" spans="1:9" ht="16.5" customHeight="1" outlineLevel="1" x14ac:dyDescent="0.3">
      <c r="A25" s="22">
        <v>1</v>
      </c>
      <c r="B25" s="22" t="s">
        <v>13</v>
      </c>
      <c r="C25" s="376" t="s">
        <v>49</v>
      </c>
      <c r="D25" s="22"/>
      <c r="E25" s="22"/>
      <c r="F25" s="107" t="s">
        <v>50</v>
      </c>
      <c r="G25" s="23">
        <v>249700</v>
      </c>
      <c r="H25" s="19">
        <f>A25*G25</f>
        <v>249700</v>
      </c>
      <c r="I25" s="20" t="s">
        <v>51</v>
      </c>
    </row>
    <row r="26" spans="1:9" ht="16.5" customHeight="1" outlineLevel="1" x14ac:dyDescent="0.3">
      <c r="A26" s="22">
        <v>1</v>
      </c>
      <c r="B26" s="22" t="s">
        <v>13</v>
      </c>
      <c r="C26" s="376" t="s">
        <v>52</v>
      </c>
      <c r="D26" s="22"/>
      <c r="E26" s="22"/>
      <c r="F26" s="107" t="s">
        <v>53</v>
      </c>
      <c r="G26" s="23">
        <v>59400</v>
      </c>
      <c r="H26" s="19">
        <f>A26*G26</f>
        <v>59400</v>
      </c>
      <c r="I26" s="20" t="s">
        <v>54</v>
      </c>
    </row>
    <row r="27" spans="1:9" ht="16.5" customHeight="1" outlineLevel="1" x14ac:dyDescent="0.3">
      <c r="A27" s="17">
        <v>2</v>
      </c>
      <c r="B27" s="17" t="s">
        <v>18</v>
      </c>
      <c r="C27" s="285" t="s">
        <v>55</v>
      </c>
      <c r="D27" s="17"/>
      <c r="E27" s="24">
        <v>42936</v>
      </c>
      <c r="F27" s="104" t="s">
        <v>56</v>
      </c>
      <c r="G27" s="19">
        <v>99050</v>
      </c>
      <c r="H27" s="19">
        <f>A27*G27</f>
        <v>198100</v>
      </c>
      <c r="I27" s="29" t="s">
        <v>57</v>
      </c>
    </row>
    <row r="28" spans="1:9" ht="16.5" customHeight="1" outlineLevel="1" x14ac:dyDescent="0.3">
      <c r="A28" s="17">
        <v>1</v>
      </c>
      <c r="B28" s="17" t="s">
        <v>13</v>
      </c>
      <c r="C28" s="285" t="s">
        <v>58</v>
      </c>
      <c r="D28" s="17"/>
      <c r="E28" s="24">
        <v>43070</v>
      </c>
      <c r="F28" s="104" t="s">
        <v>59</v>
      </c>
      <c r="G28" s="19">
        <v>100000</v>
      </c>
      <c r="H28" s="19">
        <f>A28*G28</f>
        <v>100000</v>
      </c>
      <c r="I28" s="29" t="s">
        <v>57</v>
      </c>
    </row>
    <row r="29" spans="1:9" ht="16.5" customHeight="1" outlineLevel="1" x14ac:dyDescent="0.3">
      <c r="A29" s="22">
        <v>1</v>
      </c>
      <c r="B29" s="22" t="s">
        <v>13</v>
      </c>
      <c r="C29" s="376" t="s">
        <v>26</v>
      </c>
      <c r="D29" s="22"/>
      <c r="E29" s="22"/>
      <c r="F29" s="108" t="s">
        <v>60</v>
      </c>
      <c r="G29" s="23">
        <v>106000</v>
      </c>
      <c r="H29" s="19">
        <f>A29*G29</f>
        <v>106000</v>
      </c>
      <c r="I29" s="20" t="s">
        <v>51</v>
      </c>
    </row>
    <row r="30" spans="1:9" ht="16.5" customHeight="1" outlineLevel="1" x14ac:dyDescent="0.3">
      <c r="A30" s="17">
        <v>1</v>
      </c>
      <c r="B30" s="17" t="s">
        <v>13</v>
      </c>
      <c r="C30" s="285" t="s">
        <v>19</v>
      </c>
      <c r="D30" s="17"/>
      <c r="E30" s="24" t="s">
        <v>61</v>
      </c>
      <c r="F30" s="108" t="s">
        <v>62</v>
      </c>
      <c r="G30" s="19">
        <v>60000</v>
      </c>
      <c r="H30" s="19">
        <f>A30*G30</f>
        <v>60000</v>
      </c>
      <c r="I30" s="29" t="s">
        <v>63</v>
      </c>
    </row>
    <row r="31" spans="1:9" ht="16.5" customHeight="1" outlineLevel="1" x14ac:dyDescent="0.3">
      <c r="A31" s="17">
        <v>1</v>
      </c>
      <c r="B31" s="17" t="s">
        <v>13</v>
      </c>
      <c r="C31" s="285" t="s">
        <v>64</v>
      </c>
      <c r="D31" s="17"/>
      <c r="E31" s="30" t="s">
        <v>65</v>
      </c>
      <c r="F31" s="105" t="s">
        <v>66</v>
      </c>
      <c r="G31" s="19">
        <v>72350</v>
      </c>
      <c r="H31" s="19">
        <f>A31*G31</f>
        <v>72350</v>
      </c>
      <c r="I31" s="20" t="s">
        <v>67</v>
      </c>
    </row>
    <row r="32" spans="1:9" ht="16.5" customHeight="1" outlineLevel="1" x14ac:dyDescent="0.3">
      <c r="A32" s="17">
        <v>1</v>
      </c>
      <c r="B32" s="17" t="s">
        <v>13</v>
      </c>
      <c r="C32" s="285" t="s">
        <v>68</v>
      </c>
      <c r="D32" s="17"/>
      <c r="E32" s="30" t="s">
        <v>65</v>
      </c>
      <c r="F32" s="105" t="s">
        <v>69</v>
      </c>
      <c r="G32" s="19">
        <v>115000</v>
      </c>
      <c r="H32" s="19">
        <f>A32*G32</f>
        <v>115000</v>
      </c>
      <c r="I32" s="20" t="s">
        <v>67</v>
      </c>
    </row>
    <row r="33" spans="1:9" ht="16.5" customHeight="1" outlineLevel="1" x14ac:dyDescent="0.3">
      <c r="A33" s="17">
        <v>1</v>
      </c>
      <c r="B33" s="17" t="s">
        <v>13</v>
      </c>
      <c r="C33" s="285" t="s">
        <v>70</v>
      </c>
      <c r="D33" s="17"/>
      <c r="E33" s="30" t="s">
        <v>71</v>
      </c>
      <c r="F33" s="105" t="s">
        <v>72</v>
      </c>
      <c r="G33" s="19">
        <v>52000</v>
      </c>
      <c r="H33" s="19">
        <f>A33*G33</f>
        <v>52000</v>
      </c>
      <c r="I33" s="20" t="s">
        <v>67</v>
      </c>
    </row>
    <row r="34" spans="1:9" ht="16.5" customHeight="1" outlineLevel="1" x14ac:dyDescent="0.3">
      <c r="A34" s="17">
        <v>1</v>
      </c>
      <c r="B34" s="17" t="s">
        <v>13</v>
      </c>
      <c r="C34" s="285" t="s">
        <v>73</v>
      </c>
      <c r="D34" s="17"/>
      <c r="E34" s="30" t="s">
        <v>74</v>
      </c>
      <c r="F34" s="106" t="s">
        <v>75</v>
      </c>
      <c r="G34" s="19"/>
      <c r="H34" s="19">
        <f>A34*G34</f>
        <v>0</v>
      </c>
      <c r="I34" s="20" t="s">
        <v>67</v>
      </c>
    </row>
    <row r="35" spans="1:9" ht="16.5" customHeight="1" outlineLevel="1" x14ac:dyDescent="0.3">
      <c r="A35" s="17">
        <v>1</v>
      </c>
      <c r="B35" s="17" t="s">
        <v>13</v>
      </c>
      <c r="C35" s="285" t="s">
        <v>76</v>
      </c>
      <c r="D35" s="17"/>
      <c r="E35" s="30" t="s">
        <v>77</v>
      </c>
      <c r="F35" s="105" t="s">
        <v>78</v>
      </c>
      <c r="G35" s="19">
        <v>59400</v>
      </c>
      <c r="H35" s="19">
        <f>A35*G35</f>
        <v>59400</v>
      </c>
      <c r="I35" s="20" t="s">
        <v>67</v>
      </c>
    </row>
    <row r="36" spans="1:9" ht="16.5" customHeight="1" outlineLevel="1" x14ac:dyDescent="0.3">
      <c r="A36" s="17">
        <v>1</v>
      </c>
      <c r="B36" s="17" t="s">
        <v>13</v>
      </c>
      <c r="C36" s="285" t="s">
        <v>19</v>
      </c>
      <c r="D36" s="17"/>
      <c r="E36" s="24" t="s">
        <v>61</v>
      </c>
      <c r="F36" s="108"/>
      <c r="G36" s="19">
        <f>119980-60000</f>
        <v>59980</v>
      </c>
      <c r="H36" s="19">
        <f>A36*G36</f>
        <v>59980</v>
      </c>
      <c r="I36" s="29" t="s">
        <v>63</v>
      </c>
    </row>
    <row r="37" spans="1:9" ht="16.5" customHeight="1" outlineLevel="1" x14ac:dyDescent="0.3">
      <c r="A37" s="17">
        <v>1</v>
      </c>
      <c r="B37" s="17" t="s">
        <v>13</v>
      </c>
      <c r="C37" s="285" t="s">
        <v>79</v>
      </c>
      <c r="D37" s="17"/>
      <c r="E37" s="24">
        <v>41214</v>
      </c>
      <c r="F37" s="109" t="s">
        <v>80</v>
      </c>
      <c r="G37" s="19">
        <v>65000</v>
      </c>
      <c r="H37" s="19">
        <f>A37*G37</f>
        <v>65000</v>
      </c>
      <c r="I37" s="20" t="s">
        <v>81</v>
      </c>
    </row>
    <row r="38" spans="1:9" ht="16.5" customHeight="1" outlineLevel="1" x14ac:dyDescent="0.3">
      <c r="A38" s="17">
        <v>1</v>
      </c>
      <c r="B38" s="17" t="s">
        <v>13</v>
      </c>
      <c r="C38" s="285" t="s">
        <v>82</v>
      </c>
      <c r="D38" s="17"/>
      <c r="E38" s="31" t="s">
        <v>83</v>
      </c>
      <c r="F38" s="104" t="s">
        <v>84</v>
      </c>
      <c r="G38" s="23">
        <v>77000</v>
      </c>
      <c r="H38" s="19">
        <f>A38*G38</f>
        <v>77000</v>
      </c>
      <c r="I38" s="20" t="s">
        <v>85</v>
      </c>
    </row>
    <row r="39" spans="1:9" ht="16.5" customHeight="1" outlineLevel="1" x14ac:dyDescent="0.3">
      <c r="A39" s="17">
        <v>1</v>
      </c>
      <c r="B39" s="17" t="s">
        <v>13</v>
      </c>
      <c r="C39" s="285" t="s">
        <v>86</v>
      </c>
      <c r="D39" s="17"/>
      <c r="E39" s="24">
        <v>43704</v>
      </c>
      <c r="F39" s="104" t="s">
        <v>87</v>
      </c>
      <c r="G39" s="19">
        <v>69500</v>
      </c>
      <c r="H39" s="19">
        <f>A39*G39</f>
        <v>69500</v>
      </c>
      <c r="I39" s="29" t="s">
        <v>88</v>
      </c>
    </row>
    <row r="40" spans="1:9" ht="16.5" customHeight="1" x14ac:dyDescent="0.3">
      <c r="A40" s="330" t="s">
        <v>89</v>
      </c>
      <c r="B40" s="331"/>
      <c r="C40" s="331"/>
      <c r="D40" s="331"/>
      <c r="E40" s="331"/>
      <c r="F40" s="331"/>
      <c r="G40" s="332"/>
      <c r="H40" s="32">
        <f>SUM(H13:H39)</f>
        <v>2666375</v>
      </c>
      <c r="I40" s="33"/>
    </row>
    <row r="41" spans="1:9" ht="12.75" customHeight="1" outlineLevel="1" x14ac:dyDescent="0.3">
      <c r="A41" s="22">
        <v>2</v>
      </c>
      <c r="B41" s="22" t="s">
        <v>18</v>
      </c>
      <c r="C41" s="289" t="s">
        <v>90</v>
      </c>
      <c r="D41" s="22"/>
      <c r="E41" s="22">
        <v>2020</v>
      </c>
      <c r="F41" s="107" t="s">
        <v>92</v>
      </c>
      <c r="G41" s="23">
        <v>34650</v>
      </c>
      <c r="H41" s="19">
        <f>A41*G41</f>
        <v>69300</v>
      </c>
      <c r="I41" s="20" t="s">
        <v>21</v>
      </c>
    </row>
    <row r="42" spans="1:9" ht="12.75" customHeight="1" outlineLevel="1" x14ac:dyDescent="0.3">
      <c r="A42" s="22">
        <v>2</v>
      </c>
      <c r="B42" s="22" t="s">
        <v>93</v>
      </c>
      <c r="C42" s="289" t="s">
        <v>94</v>
      </c>
      <c r="D42" s="17"/>
      <c r="E42" s="26">
        <v>45461</v>
      </c>
      <c r="F42" s="22" t="s">
        <v>95</v>
      </c>
      <c r="G42" s="23">
        <v>44700</v>
      </c>
      <c r="H42" s="19">
        <f>A42*G42</f>
        <v>89400</v>
      </c>
      <c r="I42" s="20" t="s">
        <v>31</v>
      </c>
    </row>
    <row r="43" spans="1:9" ht="12.75" customHeight="1" outlineLevel="1" x14ac:dyDescent="0.3">
      <c r="A43" s="22">
        <v>1</v>
      </c>
      <c r="B43" s="17" t="s">
        <v>96</v>
      </c>
      <c r="C43" s="289" t="s">
        <v>97</v>
      </c>
      <c r="D43" s="17"/>
      <c r="E43" s="26">
        <v>40521</v>
      </c>
      <c r="F43" s="22"/>
      <c r="G43" s="23">
        <v>59777</v>
      </c>
      <c r="H43" s="19">
        <f>A43*G43</f>
        <v>59777</v>
      </c>
      <c r="I43" s="20" t="s">
        <v>54</v>
      </c>
    </row>
    <row r="44" spans="1:9" ht="12.75" customHeight="1" outlineLevel="1" x14ac:dyDescent="0.3">
      <c r="A44" s="22">
        <v>1</v>
      </c>
      <c r="B44" s="17" t="s">
        <v>96</v>
      </c>
      <c r="C44" s="289" t="s">
        <v>98</v>
      </c>
      <c r="D44" s="17"/>
      <c r="E44" s="26">
        <v>40787</v>
      </c>
      <c r="F44" s="22"/>
      <c r="G44" s="23">
        <v>50000</v>
      </c>
      <c r="H44" s="19">
        <f>A44*G44</f>
        <v>50000</v>
      </c>
      <c r="I44" s="20" t="s">
        <v>99</v>
      </c>
    </row>
    <row r="45" spans="1:9" ht="16.5" customHeight="1" outlineLevel="1" x14ac:dyDescent="0.3">
      <c r="A45" s="17">
        <v>1</v>
      </c>
      <c r="B45" s="17" t="s">
        <v>96</v>
      </c>
      <c r="C45" s="288" t="s">
        <v>100</v>
      </c>
      <c r="D45" s="17"/>
      <c r="E45" s="30" t="s">
        <v>101</v>
      </c>
      <c r="F45" s="17" t="s">
        <v>102</v>
      </c>
      <c r="G45" s="29">
        <v>129900</v>
      </c>
      <c r="H45" s="19">
        <f>A45*G45</f>
        <v>129900</v>
      </c>
      <c r="I45" s="29" t="s">
        <v>54</v>
      </c>
    </row>
    <row r="46" spans="1:9" ht="16.5" customHeight="1" outlineLevel="1" x14ac:dyDescent="0.3">
      <c r="A46" s="17">
        <v>2</v>
      </c>
      <c r="B46" s="17" t="s">
        <v>103</v>
      </c>
      <c r="C46" s="288" t="s">
        <v>104</v>
      </c>
      <c r="D46" s="17"/>
      <c r="E46" s="30" t="s">
        <v>101</v>
      </c>
      <c r="F46" s="17" t="s">
        <v>105</v>
      </c>
      <c r="G46" s="29">
        <v>50000</v>
      </c>
      <c r="H46" s="19">
        <f>A46*G46</f>
        <v>100000</v>
      </c>
      <c r="I46" s="29" t="s">
        <v>54</v>
      </c>
    </row>
    <row r="47" spans="1:9" ht="12.75" customHeight="1" outlineLevel="1" x14ac:dyDescent="0.3">
      <c r="A47" s="22">
        <v>1</v>
      </c>
      <c r="B47" s="22" t="s">
        <v>96</v>
      </c>
      <c r="C47" s="288" t="s">
        <v>106</v>
      </c>
      <c r="D47" s="22"/>
      <c r="E47" s="30" t="s">
        <v>101</v>
      </c>
      <c r="F47" s="22" t="s">
        <v>107</v>
      </c>
      <c r="G47" s="23">
        <v>119470</v>
      </c>
      <c r="H47" s="19">
        <f>A47*G47</f>
        <v>119470</v>
      </c>
      <c r="I47" s="20" t="s">
        <v>54</v>
      </c>
    </row>
    <row r="48" spans="1:9" ht="12.75" customHeight="1" outlineLevel="1" x14ac:dyDescent="0.3">
      <c r="A48" s="22">
        <v>2</v>
      </c>
      <c r="B48" s="22" t="s">
        <v>108</v>
      </c>
      <c r="C48" s="288" t="s">
        <v>109</v>
      </c>
      <c r="D48" s="22"/>
      <c r="E48" s="22"/>
      <c r="F48" s="22" t="s">
        <v>110</v>
      </c>
      <c r="G48" s="23">
        <v>29975</v>
      </c>
      <c r="H48" s="19">
        <f>A48*G48</f>
        <v>59950</v>
      </c>
      <c r="I48" s="20" t="s">
        <v>51</v>
      </c>
    </row>
    <row r="49" spans="1:9" ht="16.5" customHeight="1" x14ac:dyDescent="0.3">
      <c r="A49" s="330" t="s">
        <v>111</v>
      </c>
      <c r="B49" s="331"/>
      <c r="C49" s="331"/>
      <c r="D49" s="331"/>
      <c r="E49" s="331"/>
      <c r="F49" s="332"/>
      <c r="G49" s="35"/>
      <c r="H49" s="32">
        <f>SUM(H41:H48)</f>
        <v>677797</v>
      </c>
      <c r="I49" s="36"/>
    </row>
    <row r="50" spans="1:9" ht="12.75" customHeight="1" outlineLevel="1" x14ac:dyDescent="0.3">
      <c r="A50" s="37">
        <v>1</v>
      </c>
      <c r="B50" s="37" t="s">
        <v>13</v>
      </c>
      <c r="C50" s="290" t="s">
        <v>112</v>
      </c>
      <c r="D50" s="17"/>
      <c r="E50" s="38">
        <v>45796</v>
      </c>
      <c r="F50" s="110" t="s">
        <v>114</v>
      </c>
      <c r="G50" s="39">
        <v>149500</v>
      </c>
      <c r="H50" s="19">
        <f>A50*G50</f>
        <v>149500</v>
      </c>
      <c r="I50" s="40" t="s">
        <v>17</v>
      </c>
    </row>
    <row r="51" spans="1:9" ht="12.75" customHeight="1" outlineLevel="1" x14ac:dyDescent="0.3">
      <c r="A51" s="37">
        <v>1</v>
      </c>
      <c r="B51" s="37" t="s">
        <v>13</v>
      </c>
      <c r="C51" s="290" t="s">
        <v>115</v>
      </c>
      <c r="D51" s="17"/>
      <c r="E51" s="38">
        <v>45796</v>
      </c>
      <c r="F51" s="110" t="s">
        <v>116</v>
      </c>
      <c r="G51" s="39">
        <v>249500</v>
      </c>
      <c r="H51" s="19">
        <f>A51*G51</f>
        <v>249500</v>
      </c>
      <c r="I51" s="40" t="s">
        <v>17</v>
      </c>
    </row>
    <row r="52" spans="1:9" ht="12.75" customHeight="1" outlineLevel="1" x14ac:dyDescent="0.3">
      <c r="A52" s="37">
        <v>1</v>
      </c>
      <c r="B52" s="37" t="s">
        <v>13</v>
      </c>
      <c r="C52" s="290" t="s">
        <v>117</v>
      </c>
      <c r="D52" s="17"/>
      <c r="E52" s="38">
        <v>2021</v>
      </c>
      <c r="F52" s="110" t="s">
        <v>118</v>
      </c>
      <c r="G52" s="39">
        <v>57000</v>
      </c>
      <c r="H52" s="19">
        <f>A52*G52</f>
        <v>57000</v>
      </c>
      <c r="I52" s="40" t="s">
        <v>17</v>
      </c>
    </row>
    <row r="53" spans="1:9" ht="12.75" customHeight="1" outlineLevel="1" x14ac:dyDescent="0.3">
      <c r="A53" s="41">
        <v>2</v>
      </c>
      <c r="B53" s="41" t="s">
        <v>119</v>
      </c>
      <c r="C53" s="291" t="s">
        <v>120</v>
      </c>
      <c r="D53" s="37"/>
      <c r="E53" s="38">
        <v>45200</v>
      </c>
      <c r="F53" s="111" t="s">
        <v>121</v>
      </c>
      <c r="G53" s="39">
        <v>49700</v>
      </c>
      <c r="H53" s="19">
        <f>A53*G53</f>
        <v>99400</v>
      </c>
      <c r="I53" s="40" t="s">
        <v>17</v>
      </c>
    </row>
    <row r="54" spans="1:9" ht="12.75" customHeight="1" outlineLevel="1" x14ac:dyDescent="0.3">
      <c r="A54" s="22">
        <v>1</v>
      </c>
      <c r="B54" s="22" t="s">
        <v>13</v>
      </c>
      <c r="C54" s="288" t="s">
        <v>122</v>
      </c>
      <c r="D54" s="37"/>
      <c r="E54" s="42">
        <v>46003</v>
      </c>
      <c r="F54" s="112" t="s">
        <v>123</v>
      </c>
      <c r="G54" s="43">
        <v>99850</v>
      </c>
      <c r="H54" s="19">
        <f>A54*G54</f>
        <v>99850</v>
      </c>
      <c r="I54" s="40" t="s">
        <v>17</v>
      </c>
    </row>
    <row r="55" spans="1:9" ht="12.75" customHeight="1" outlineLevel="1" x14ac:dyDescent="0.3">
      <c r="A55" s="22">
        <v>1</v>
      </c>
      <c r="B55" s="22" t="s">
        <v>96</v>
      </c>
      <c r="C55" s="288" t="s">
        <v>124</v>
      </c>
      <c r="D55" s="37"/>
      <c r="E55" s="44">
        <v>45754</v>
      </c>
      <c r="F55" s="105" t="s">
        <v>125</v>
      </c>
      <c r="G55" s="45">
        <v>88500</v>
      </c>
      <c r="H55" s="19">
        <f>A55*G55</f>
        <v>88500</v>
      </c>
      <c r="I55" s="46" t="s">
        <v>21</v>
      </c>
    </row>
    <row r="56" spans="1:9" ht="12.75" customHeight="1" outlineLevel="1" x14ac:dyDescent="0.3">
      <c r="A56" s="22">
        <v>1</v>
      </c>
      <c r="B56" s="22" t="s">
        <v>96</v>
      </c>
      <c r="C56" s="288" t="s">
        <v>126</v>
      </c>
      <c r="D56" s="37"/>
      <c r="E56" s="22">
        <v>2021</v>
      </c>
      <c r="F56" s="105" t="s">
        <v>127</v>
      </c>
      <c r="G56" s="45">
        <v>79750</v>
      </c>
      <c r="H56" s="19">
        <f>A56*G56</f>
        <v>79750</v>
      </c>
      <c r="I56" s="46" t="s">
        <v>21</v>
      </c>
    </row>
    <row r="57" spans="1:9" ht="12.75" customHeight="1" outlineLevel="1" x14ac:dyDescent="0.3">
      <c r="A57" s="22">
        <v>1</v>
      </c>
      <c r="B57" s="22" t="s">
        <v>13</v>
      </c>
      <c r="C57" s="288" t="s">
        <v>128</v>
      </c>
      <c r="D57" s="17"/>
      <c r="E57" s="22">
        <v>2021</v>
      </c>
      <c r="F57" s="106" t="s">
        <v>129</v>
      </c>
      <c r="G57" s="45">
        <v>60000</v>
      </c>
      <c r="H57" s="19">
        <f>A57*G57</f>
        <v>60000</v>
      </c>
      <c r="I57" s="46" t="s">
        <v>21</v>
      </c>
    </row>
    <row r="58" spans="1:9" ht="12.75" customHeight="1" outlineLevel="1" x14ac:dyDescent="0.3">
      <c r="A58" s="22">
        <v>1</v>
      </c>
      <c r="B58" s="22" t="s">
        <v>13</v>
      </c>
      <c r="C58" s="288" t="s">
        <v>130</v>
      </c>
      <c r="D58" s="22"/>
      <c r="E58" s="27">
        <v>45461</v>
      </c>
      <c r="F58" s="108" t="s">
        <v>131</v>
      </c>
      <c r="G58" s="45">
        <v>79500</v>
      </c>
      <c r="H58" s="19">
        <f>A58*G58</f>
        <v>79500</v>
      </c>
      <c r="I58" s="46" t="s">
        <v>21</v>
      </c>
    </row>
    <row r="59" spans="1:9" ht="16.5" customHeight="1" outlineLevel="1" x14ac:dyDescent="0.3">
      <c r="A59" s="17">
        <v>1</v>
      </c>
      <c r="B59" s="17" t="s">
        <v>96</v>
      </c>
      <c r="C59" s="292" t="s">
        <v>132</v>
      </c>
      <c r="D59" s="17"/>
      <c r="E59" s="24">
        <v>43070</v>
      </c>
      <c r="F59" s="105" t="s">
        <v>133</v>
      </c>
      <c r="G59" s="47">
        <v>50000</v>
      </c>
      <c r="H59" s="19">
        <f>A59*G59</f>
        <v>50000</v>
      </c>
      <c r="I59" s="48" t="s">
        <v>21</v>
      </c>
    </row>
    <row r="60" spans="1:9" ht="12.75" customHeight="1" outlineLevel="1" x14ac:dyDescent="0.3">
      <c r="A60" s="49">
        <v>1</v>
      </c>
      <c r="B60" s="49" t="s">
        <v>13</v>
      </c>
      <c r="C60" s="293" t="s">
        <v>134</v>
      </c>
      <c r="D60" s="17"/>
      <c r="E60" s="49">
        <v>2022</v>
      </c>
      <c r="F60" s="113" t="s">
        <v>135</v>
      </c>
      <c r="G60" s="50">
        <v>59950</v>
      </c>
      <c r="H60" s="19">
        <f>A60*G60</f>
        <v>59950</v>
      </c>
      <c r="I60" s="48" t="s">
        <v>21</v>
      </c>
    </row>
    <row r="61" spans="1:9" ht="16.5" customHeight="1" outlineLevel="1" x14ac:dyDescent="0.3">
      <c r="A61" s="49">
        <v>1</v>
      </c>
      <c r="B61" s="49" t="s">
        <v>13</v>
      </c>
      <c r="C61" s="287" t="s">
        <v>136</v>
      </c>
      <c r="D61" s="17"/>
      <c r="E61" s="51">
        <v>46003</v>
      </c>
      <c r="F61" s="112" t="s">
        <v>137</v>
      </c>
      <c r="G61" s="43">
        <v>79850</v>
      </c>
      <c r="H61" s="19">
        <f>A61*G61</f>
        <v>79850</v>
      </c>
      <c r="I61" s="48" t="s">
        <v>21</v>
      </c>
    </row>
    <row r="62" spans="1:9" ht="16.5" customHeight="1" outlineLevel="1" x14ac:dyDescent="0.3">
      <c r="A62" s="17">
        <v>1</v>
      </c>
      <c r="B62" s="17" t="s">
        <v>96</v>
      </c>
      <c r="C62" s="287" t="s">
        <v>835</v>
      </c>
      <c r="D62" s="17"/>
      <c r="E62" s="25" t="s">
        <v>138</v>
      </c>
      <c r="F62" s="106" t="s">
        <v>139</v>
      </c>
      <c r="G62" s="47">
        <v>58000</v>
      </c>
      <c r="H62" s="19">
        <f>A62*G62</f>
        <v>58000</v>
      </c>
      <c r="I62" s="48" t="s">
        <v>25</v>
      </c>
    </row>
    <row r="63" spans="1:9" s="120" customFormat="1" ht="12.75" customHeight="1" outlineLevel="1" x14ac:dyDescent="0.3">
      <c r="A63" s="114">
        <v>1</v>
      </c>
      <c r="B63" s="114" t="s">
        <v>13</v>
      </c>
      <c r="C63" s="115" t="s">
        <v>140</v>
      </c>
      <c r="D63" s="114"/>
      <c r="E63" s="114">
        <v>2018</v>
      </c>
      <c r="F63" s="116" t="s">
        <v>141</v>
      </c>
      <c r="G63" s="117">
        <v>89980</v>
      </c>
      <c r="H63" s="118">
        <f>A63*G63</f>
        <v>89980</v>
      </c>
      <c r="I63" s="119" t="s">
        <v>25</v>
      </c>
    </row>
    <row r="64" spans="1:9" s="120" customFormat="1" ht="12.75" customHeight="1" outlineLevel="1" x14ac:dyDescent="0.3">
      <c r="A64" s="114">
        <v>1</v>
      </c>
      <c r="B64" s="114" t="s">
        <v>13</v>
      </c>
      <c r="C64" s="115" t="s">
        <v>140</v>
      </c>
      <c r="D64" s="114"/>
      <c r="E64" s="114">
        <v>2022</v>
      </c>
      <c r="F64" s="116" t="s">
        <v>142</v>
      </c>
      <c r="G64" s="117"/>
      <c r="H64" s="118">
        <f>A64*G64</f>
        <v>0</v>
      </c>
      <c r="I64" s="119"/>
    </row>
    <row r="65" spans="1:9" ht="12.75" customHeight="1" outlineLevel="1" x14ac:dyDescent="0.3">
      <c r="A65" s="17">
        <v>1</v>
      </c>
      <c r="B65" s="17" t="s">
        <v>13</v>
      </c>
      <c r="C65" s="52" t="s">
        <v>143</v>
      </c>
      <c r="D65" s="17"/>
      <c r="E65" s="27">
        <v>44651</v>
      </c>
      <c r="F65" s="25" t="s">
        <v>144</v>
      </c>
      <c r="G65" s="47">
        <v>60000</v>
      </c>
      <c r="H65" s="19">
        <f>A65*G65</f>
        <v>60000</v>
      </c>
      <c r="I65" s="53" t="s">
        <v>25</v>
      </c>
    </row>
    <row r="66" spans="1:9" ht="12.75" customHeight="1" outlineLevel="1" x14ac:dyDescent="0.3">
      <c r="A66" s="17">
        <v>1</v>
      </c>
      <c r="B66" s="17" t="s">
        <v>13</v>
      </c>
      <c r="C66" s="287" t="s">
        <v>145</v>
      </c>
      <c r="D66" s="17"/>
      <c r="E66" s="18">
        <v>45581</v>
      </c>
      <c r="F66" s="25" t="s">
        <v>146</v>
      </c>
      <c r="G66" s="47">
        <v>199207</v>
      </c>
      <c r="H66" s="19">
        <f>A66*G66</f>
        <v>199207</v>
      </c>
      <c r="I66" s="48" t="s">
        <v>25</v>
      </c>
    </row>
    <row r="67" spans="1:9" ht="12.75" customHeight="1" outlineLevel="1" x14ac:dyDescent="0.3">
      <c r="A67" s="17">
        <v>1</v>
      </c>
      <c r="B67" s="17" t="s">
        <v>13</v>
      </c>
      <c r="C67" s="287" t="s">
        <v>147</v>
      </c>
      <c r="D67" s="17"/>
      <c r="E67" s="18">
        <v>45581</v>
      </c>
      <c r="F67" s="25" t="s">
        <v>148</v>
      </c>
      <c r="G67" s="47">
        <v>99207</v>
      </c>
      <c r="H67" s="19">
        <f>A67*G67</f>
        <v>99207</v>
      </c>
      <c r="I67" s="48" t="s">
        <v>25</v>
      </c>
    </row>
    <row r="68" spans="1:9" ht="16.8" customHeight="1" outlineLevel="1" x14ac:dyDescent="0.3">
      <c r="A68" s="17">
        <v>1</v>
      </c>
      <c r="B68" s="17" t="s">
        <v>96</v>
      </c>
      <c r="C68" s="287" t="s">
        <v>836</v>
      </c>
      <c r="D68" s="17"/>
      <c r="E68" s="54">
        <v>43435</v>
      </c>
      <c r="F68" s="104" t="s">
        <v>149</v>
      </c>
      <c r="G68" s="45">
        <v>107000</v>
      </c>
      <c r="H68" s="19">
        <f>A68*G68</f>
        <v>107000</v>
      </c>
      <c r="I68" s="48" t="s">
        <v>150</v>
      </c>
    </row>
    <row r="69" spans="1:9" ht="12.75" customHeight="1" outlineLevel="1" x14ac:dyDescent="0.3">
      <c r="A69" s="17">
        <v>1</v>
      </c>
      <c r="B69" s="17" t="s">
        <v>13</v>
      </c>
      <c r="C69" s="287" t="s">
        <v>151</v>
      </c>
      <c r="D69" s="17"/>
      <c r="E69" s="24">
        <v>45444</v>
      </c>
      <c r="F69" s="104" t="s">
        <v>152</v>
      </c>
      <c r="G69" s="47">
        <v>164500</v>
      </c>
      <c r="H69" s="19">
        <f>A69*G69</f>
        <v>164500</v>
      </c>
      <c r="I69" s="53" t="s">
        <v>153</v>
      </c>
    </row>
    <row r="70" spans="1:9" ht="12.75" customHeight="1" outlineLevel="1" x14ac:dyDescent="0.3">
      <c r="A70" s="17">
        <v>1</v>
      </c>
      <c r="B70" s="17" t="s">
        <v>13</v>
      </c>
      <c r="C70" s="287" t="s">
        <v>154</v>
      </c>
      <c r="D70" s="17"/>
      <c r="E70" s="24">
        <v>45444</v>
      </c>
      <c r="F70" s="104" t="s">
        <v>155</v>
      </c>
      <c r="G70" s="47">
        <v>135000</v>
      </c>
      <c r="H70" s="19">
        <f>A70*G70</f>
        <v>135000</v>
      </c>
      <c r="I70" s="53" t="s">
        <v>153</v>
      </c>
    </row>
    <row r="71" spans="1:9" ht="12.75" customHeight="1" outlineLevel="1" x14ac:dyDescent="0.3">
      <c r="A71" s="17">
        <v>1</v>
      </c>
      <c r="B71" s="17" t="s">
        <v>13</v>
      </c>
      <c r="C71" s="293" t="s">
        <v>156</v>
      </c>
      <c r="D71" s="17"/>
      <c r="E71" s="38">
        <v>45525</v>
      </c>
      <c r="F71" s="105" t="s">
        <v>157</v>
      </c>
      <c r="G71" s="50">
        <v>99500</v>
      </c>
      <c r="H71" s="19">
        <f>A71*G71</f>
        <v>99500</v>
      </c>
      <c r="I71" s="53" t="s">
        <v>158</v>
      </c>
    </row>
    <row r="72" spans="1:9" ht="12.75" customHeight="1" outlineLevel="1" x14ac:dyDescent="0.3">
      <c r="A72" s="17">
        <v>1</v>
      </c>
      <c r="B72" s="17" t="s">
        <v>13</v>
      </c>
      <c r="C72" s="293" t="s">
        <v>159</v>
      </c>
      <c r="D72" s="17"/>
      <c r="E72" s="55">
        <v>44651</v>
      </c>
      <c r="F72" s="105" t="s">
        <v>160</v>
      </c>
      <c r="G72" s="50">
        <v>60000</v>
      </c>
      <c r="H72" s="19">
        <f>A72*G72</f>
        <v>60000</v>
      </c>
      <c r="I72" s="53" t="s">
        <v>158</v>
      </c>
    </row>
    <row r="73" spans="1:9" ht="12.75" customHeight="1" outlineLevel="1" x14ac:dyDescent="0.3">
      <c r="A73" s="17">
        <v>1</v>
      </c>
      <c r="B73" s="17" t="s">
        <v>13</v>
      </c>
      <c r="C73" s="287" t="s">
        <v>161</v>
      </c>
      <c r="D73" s="17"/>
      <c r="E73" s="56">
        <v>45505</v>
      </c>
      <c r="F73" s="121" t="s">
        <v>162</v>
      </c>
      <c r="G73" s="47">
        <v>99700</v>
      </c>
      <c r="H73" s="19">
        <f>A73*G73</f>
        <v>99700</v>
      </c>
      <c r="I73" s="53" t="s">
        <v>163</v>
      </c>
    </row>
    <row r="74" spans="1:9" s="134" customFormat="1" ht="16.5" customHeight="1" outlineLevel="1" x14ac:dyDescent="0.3">
      <c r="A74" s="128">
        <v>1</v>
      </c>
      <c r="B74" s="128" t="s">
        <v>96</v>
      </c>
      <c r="C74" s="129" t="s">
        <v>164</v>
      </c>
      <c r="D74" s="128"/>
      <c r="E74" s="130" t="s">
        <v>101</v>
      </c>
      <c r="F74" s="128"/>
      <c r="G74" s="131">
        <v>59800</v>
      </c>
      <c r="H74" s="132">
        <f>A74*G74</f>
        <v>59800</v>
      </c>
      <c r="I74" s="133" t="s">
        <v>165</v>
      </c>
    </row>
    <row r="75" spans="1:9" s="134" customFormat="1" ht="16.5" customHeight="1" outlineLevel="1" x14ac:dyDescent="0.3">
      <c r="A75" s="135">
        <v>1</v>
      </c>
      <c r="B75" s="135" t="s">
        <v>96</v>
      </c>
      <c r="C75" s="294" t="s">
        <v>166</v>
      </c>
      <c r="D75" s="135"/>
      <c r="E75" s="136">
        <v>41244</v>
      </c>
      <c r="F75" s="135" t="s">
        <v>167</v>
      </c>
      <c r="G75" s="137">
        <v>58582</v>
      </c>
      <c r="H75" s="138">
        <f>A75*G75</f>
        <v>58582</v>
      </c>
      <c r="I75" s="139" t="s">
        <v>168</v>
      </c>
    </row>
    <row r="76" spans="1:9" s="134" customFormat="1" ht="16.5" customHeight="1" outlineLevel="1" x14ac:dyDescent="0.3">
      <c r="A76" s="135">
        <v>1</v>
      </c>
      <c r="B76" s="135" t="s">
        <v>13</v>
      </c>
      <c r="C76" s="294" t="s">
        <v>169</v>
      </c>
      <c r="D76" s="140"/>
      <c r="E76" s="141">
        <v>45461</v>
      </c>
      <c r="F76" s="135" t="s">
        <v>170</v>
      </c>
      <c r="G76" s="142">
        <v>99500</v>
      </c>
      <c r="H76" s="138">
        <f>A76*G76</f>
        <v>99500</v>
      </c>
      <c r="I76" s="143" t="s">
        <v>88</v>
      </c>
    </row>
    <row r="77" spans="1:9" s="134" customFormat="1" ht="16.5" customHeight="1" outlineLevel="1" x14ac:dyDescent="0.3">
      <c r="A77" s="135">
        <v>1</v>
      </c>
      <c r="B77" s="135" t="s">
        <v>13</v>
      </c>
      <c r="C77" s="294" t="s">
        <v>171</v>
      </c>
      <c r="D77" s="135"/>
      <c r="E77" s="144" t="s">
        <v>172</v>
      </c>
      <c r="F77" s="135" t="s">
        <v>173</v>
      </c>
      <c r="G77" s="137">
        <v>0</v>
      </c>
      <c r="H77" s="138">
        <f>A77*G77</f>
        <v>0</v>
      </c>
      <c r="I77" s="139" t="s">
        <v>168</v>
      </c>
    </row>
    <row r="78" spans="1:9" s="134" customFormat="1" ht="16.5" customHeight="1" outlineLevel="1" x14ac:dyDescent="0.3">
      <c r="A78" s="145">
        <v>1</v>
      </c>
      <c r="B78" s="145" t="s">
        <v>13</v>
      </c>
      <c r="C78" s="295" t="s">
        <v>174</v>
      </c>
      <c r="D78" s="145"/>
      <c r="E78" s="146" t="s">
        <v>175</v>
      </c>
      <c r="F78" s="145" t="s">
        <v>176</v>
      </c>
      <c r="G78" s="147">
        <v>75650</v>
      </c>
      <c r="H78" s="148">
        <f>A78*G78</f>
        <v>75650</v>
      </c>
      <c r="I78" s="149" t="s">
        <v>168</v>
      </c>
    </row>
    <row r="79" spans="1:9" s="134" customFormat="1" ht="16.5" customHeight="1" outlineLevel="1" x14ac:dyDescent="0.3">
      <c r="A79" s="135">
        <v>2</v>
      </c>
      <c r="B79" s="150" t="s">
        <v>18</v>
      </c>
      <c r="C79" s="296" t="s">
        <v>177</v>
      </c>
      <c r="D79" s="135"/>
      <c r="E79" s="151">
        <v>2022</v>
      </c>
      <c r="F79" s="152" t="s">
        <v>178</v>
      </c>
      <c r="G79" s="137">
        <v>99300</v>
      </c>
      <c r="H79" s="138">
        <f>A79*G79</f>
        <v>198600</v>
      </c>
      <c r="I79" s="139" t="s">
        <v>168</v>
      </c>
    </row>
    <row r="80" spans="1:9" s="134" customFormat="1" ht="16.5" customHeight="1" outlineLevel="1" x14ac:dyDescent="0.3">
      <c r="A80" s="135">
        <v>1</v>
      </c>
      <c r="B80" s="135" t="s">
        <v>13</v>
      </c>
      <c r="C80" s="296" t="s">
        <v>179</v>
      </c>
      <c r="D80" s="135"/>
      <c r="E80" s="151">
        <v>2022</v>
      </c>
      <c r="F80" s="152" t="s">
        <v>180</v>
      </c>
      <c r="G80" s="137">
        <v>59950</v>
      </c>
      <c r="H80" s="138">
        <f>A80*G80</f>
        <v>59950</v>
      </c>
      <c r="I80" s="153" t="s">
        <v>28</v>
      </c>
    </row>
    <row r="81" spans="1:9" s="134" customFormat="1" ht="12.75" customHeight="1" outlineLevel="1" x14ac:dyDescent="0.3">
      <c r="A81" s="154">
        <v>5</v>
      </c>
      <c r="B81" s="154" t="s">
        <v>181</v>
      </c>
      <c r="C81" s="297" t="s">
        <v>182</v>
      </c>
      <c r="D81" s="155"/>
      <c r="E81" s="156">
        <v>44877</v>
      </c>
      <c r="F81" s="154" t="s">
        <v>183</v>
      </c>
      <c r="G81" s="157">
        <v>49975</v>
      </c>
      <c r="H81" s="158">
        <f>A81*G81</f>
        <v>249875</v>
      </c>
      <c r="I81" s="159" t="s">
        <v>28</v>
      </c>
    </row>
    <row r="82" spans="1:9" ht="12.75" customHeight="1" outlineLevel="1" x14ac:dyDescent="0.3">
      <c r="A82" s="49">
        <v>1</v>
      </c>
      <c r="B82" s="49" t="s">
        <v>13</v>
      </c>
      <c r="C82" s="288" t="s">
        <v>184</v>
      </c>
      <c r="D82" s="17"/>
      <c r="E82" s="59">
        <v>45461</v>
      </c>
      <c r="F82" s="49" t="s">
        <v>185</v>
      </c>
      <c r="G82" s="50">
        <v>79940</v>
      </c>
      <c r="H82" s="19">
        <f>A82*G82</f>
        <v>79940</v>
      </c>
      <c r="I82" s="53" t="s">
        <v>28</v>
      </c>
    </row>
    <row r="83" spans="1:9" ht="16.5" customHeight="1" outlineLevel="1" x14ac:dyDescent="0.3">
      <c r="A83" s="17">
        <v>3</v>
      </c>
      <c r="B83" s="17" t="s">
        <v>13</v>
      </c>
      <c r="C83" s="287" t="s">
        <v>186</v>
      </c>
      <c r="D83" s="17"/>
      <c r="E83" s="18">
        <v>46001</v>
      </c>
      <c r="F83" s="17" t="s">
        <v>187</v>
      </c>
      <c r="G83" s="47">
        <v>83200</v>
      </c>
      <c r="H83" s="19">
        <f>A83*G83</f>
        <v>249600</v>
      </c>
      <c r="I83" s="53" t="s">
        <v>28</v>
      </c>
    </row>
    <row r="84" spans="1:9" ht="16.5" customHeight="1" outlineLevel="1" x14ac:dyDescent="0.3">
      <c r="A84" s="60">
        <v>1</v>
      </c>
      <c r="B84" s="60" t="s">
        <v>13</v>
      </c>
      <c r="C84" s="61" t="s">
        <v>188</v>
      </c>
      <c r="D84" s="17"/>
      <c r="E84" s="62">
        <v>45170</v>
      </c>
      <c r="F84" s="160" t="s">
        <v>189</v>
      </c>
      <c r="G84" s="63">
        <v>99950</v>
      </c>
      <c r="H84" s="19">
        <f>A84*G84</f>
        <v>99950</v>
      </c>
      <c r="I84" s="48" t="s">
        <v>190</v>
      </c>
    </row>
    <row r="85" spans="1:9" ht="33" customHeight="1" outlineLevel="1" x14ac:dyDescent="0.3">
      <c r="A85" s="60">
        <v>3</v>
      </c>
      <c r="B85" s="60" t="s">
        <v>13</v>
      </c>
      <c r="C85" s="61" t="s">
        <v>151</v>
      </c>
      <c r="D85" s="17"/>
      <c r="E85" s="62">
        <v>45461</v>
      </c>
      <c r="F85" s="161" t="s">
        <v>191</v>
      </c>
      <c r="G85" s="63">
        <v>179995</v>
      </c>
      <c r="H85" s="19">
        <f>A85*G85</f>
        <v>539985</v>
      </c>
      <c r="I85" s="48" t="s">
        <v>190</v>
      </c>
    </row>
    <row r="86" spans="1:9" ht="26.25" customHeight="1" outlineLevel="1" x14ac:dyDescent="0.3">
      <c r="A86" s="49">
        <v>3</v>
      </c>
      <c r="B86" s="49" t="s">
        <v>18</v>
      </c>
      <c r="C86" s="298" t="s">
        <v>143</v>
      </c>
      <c r="D86" s="17"/>
      <c r="E86" s="62">
        <v>45461</v>
      </c>
      <c r="F86" s="162" t="s">
        <v>192</v>
      </c>
      <c r="G86" s="63">
        <v>99995</v>
      </c>
      <c r="H86" s="19">
        <f>A86*G86</f>
        <v>299985</v>
      </c>
      <c r="I86" s="48" t="s">
        <v>190</v>
      </c>
    </row>
    <row r="87" spans="1:9" ht="33" customHeight="1" outlineLevel="1" x14ac:dyDescent="0.3">
      <c r="A87" s="60">
        <v>1</v>
      </c>
      <c r="B87" s="60" t="s">
        <v>13</v>
      </c>
      <c r="C87" s="298" t="s">
        <v>193</v>
      </c>
      <c r="D87" s="17"/>
      <c r="E87" s="62">
        <v>45461</v>
      </c>
      <c r="F87" s="107" t="s">
        <v>194</v>
      </c>
      <c r="G87" s="63">
        <v>179995</v>
      </c>
      <c r="H87" s="19">
        <f>A87*G87</f>
        <v>179995</v>
      </c>
      <c r="I87" s="48" t="s">
        <v>190</v>
      </c>
    </row>
    <row r="88" spans="1:9" ht="16.5" customHeight="1" outlineLevel="1" x14ac:dyDescent="0.3">
      <c r="A88" s="17">
        <v>1</v>
      </c>
      <c r="B88" s="17" t="s">
        <v>13</v>
      </c>
      <c r="C88" s="287" t="s">
        <v>195</v>
      </c>
      <c r="D88" s="17"/>
      <c r="E88" s="24">
        <v>41791</v>
      </c>
      <c r="F88" s="106" t="s">
        <v>196</v>
      </c>
      <c r="G88" s="47">
        <v>58100</v>
      </c>
      <c r="H88" s="19">
        <f>A88*G88</f>
        <v>58100</v>
      </c>
      <c r="I88" s="48" t="s">
        <v>41</v>
      </c>
    </row>
    <row r="89" spans="1:9" ht="12.75" customHeight="1" outlineLevel="1" x14ac:dyDescent="0.3">
      <c r="A89" s="49">
        <v>1</v>
      </c>
      <c r="B89" s="49" t="s">
        <v>13</v>
      </c>
      <c r="C89" s="293" t="s">
        <v>128</v>
      </c>
      <c r="D89" s="17"/>
      <c r="E89" s="49">
        <v>2021</v>
      </c>
      <c r="F89" s="163" t="s">
        <v>197</v>
      </c>
      <c r="G89" s="50">
        <v>70000</v>
      </c>
      <c r="H89" s="19">
        <f>A89*G89</f>
        <v>70000</v>
      </c>
      <c r="I89" s="48" t="s">
        <v>41</v>
      </c>
    </row>
    <row r="90" spans="1:9" ht="12.75" customHeight="1" outlineLevel="1" x14ac:dyDescent="0.3">
      <c r="A90" s="49">
        <v>2</v>
      </c>
      <c r="B90" s="49" t="s">
        <v>18</v>
      </c>
      <c r="C90" s="293" t="s">
        <v>198</v>
      </c>
      <c r="D90" s="17"/>
      <c r="E90" s="49">
        <v>2021</v>
      </c>
      <c r="F90" s="164" t="s">
        <v>199</v>
      </c>
      <c r="G90" s="50">
        <v>80000</v>
      </c>
      <c r="H90" s="19">
        <f>A90*G90</f>
        <v>160000</v>
      </c>
      <c r="I90" s="48" t="s">
        <v>41</v>
      </c>
    </row>
    <row r="91" spans="1:9" ht="12.75" customHeight="1" outlineLevel="1" x14ac:dyDescent="0.3">
      <c r="A91" s="17">
        <v>1</v>
      </c>
      <c r="B91" s="17" t="s">
        <v>13</v>
      </c>
      <c r="C91" s="287" t="s">
        <v>200</v>
      </c>
      <c r="D91" s="17"/>
      <c r="E91" s="56">
        <v>45505</v>
      </c>
      <c r="F91" s="121" t="s">
        <v>201</v>
      </c>
      <c r="G91" s="47">
        <v>99700</v>
      </c>
      <c r="H91" s="19">
        <f>A91*G91</f>
        <v>99700</v>
      </c>
      <c r="I91" s="46" t="s">
        <v>41</v>
      </c>
    </row>
    <row r="92" spans="1:9" ht="12.75" customHeight="1" outlineLevel="1" x14ac:dyDescent="0.3">
      <c r="A92" s="17">
        <v>1</v>
      </c>
      <c r="B92" s="17" t="s">
        <v>13</v>
      </c>
      <c r="C92" s="287" t="s">
        <v>202</v>
      </c>
      <c r="D92" s="17"/>
      <c r="E92" s="56">
        <v>45777</v>
      </c>
      <c r="F92" s="121" t="s">
        <v>203</v>
      </c>
      <c r="G92" s="47">
        <v>133000</v>
      </c>
      <c r="H92" s="19">
        <f>A92*G92</f>
        <v>133000</v>
      </c>
      <c r="I92" s="46" t="s">
        <v>41</v>
      </c>
    </row>
    <row r="93" spans="1:9" ht="12.75" customHeight="1" outlineLevel="1" x14ac:dyDescent="0.3">
      <c r="A93" s="17">
        <v>1</v>
      </c>
      <c r="B93" s="17" t="s">
        <v>13</v>
      </c>
      <c r="C93" s="287" t="s">
        <v>204</v>
      </c>
      <c r="D93" s="17"/>
      <c r="E93" s="59">
        <v>44651</v>
      </c>
      <c r="F93" s="121" t="s">
        <v>205</v>
      </c>
      <c r="G93" s="47">
        <v>80000</v>
      </c>
      <c r="H93" s="19">
        <f>A93*G93</f>
        <v>80000</v>
      </c>
      <c r="I93" s="46" t="s">
        <v>206</v>
      </c>
    </row>
    <row r="94" spans="1:9" ht="12.75" customHeight="1" outlineLevel="1" x14ac:dyDescent="0.3">
      <c r="A94" s="17">
        <v>1</v>
      </c>
      <c r="B94" s="17" t="s">
        <v>13</v>
      </c>
      <c r="C94" s="293" t="s">
        <v>207</v>
      </c>
      <c r="D94" s="17"/>
      <c r="E94" s="51">
        <v>46003</v>
      </c>
      <c r="F94" s="112" t="s">
        <v>208</v>
      </c>
      <c r="G94" s="43">
        <v>79850</v>
      </c>
      <c r="H94" s="19">
        <f>A94*G94</f>
        <v>79850</v>
      </c>
      <c r="I94" s="46" t="s">
        <v>206</v>
      </c>
    </row>
    <row r="95" spans="1:9" ht="12.75" customHeight="1" outlineLevel="1" x14ac:dyDescent="0.3">
      <c r="A95" s="60">
        <v>4</v>
      </c>
      <c r="B95" s="60" t="s">
        <v>209</v>
      </c>
      <c r="C95" s="293" t="s">
        <v>210</v>
      </c>
      <c r="D95" s="49"/>
      <c r="E95" s="49"/>
      <c r="F95" s="165" t="s">
        <v>211</v>
      </c>
      <c r="G95" s="63">
        <v>14950</v>
      </c>
      <c r="H95" s="19">
        <f>A95*G95</f>
        <v>59800</v>
      </c>
      <c r="I95" s="61" t="s">
        <v>54</v>
      </c>
    </row>
    <row r="96" spans="1:9" ht="12.75" customHeight="1" outlineLevel="1" x14ac:dyDescent="0.3">
      <c r="A96" s="60">
        <v>1</v>
      </c>
      <c r="B96" s="60" t="s">
        <v>13</v>
      </c>
      <c r="C96" s="293" t="s">
        <v>212</v>
      </c>
      <c r="D96" s="49"/>
      <c r="E96" s="59">
        <v>44877</v>
      </c>
      <c r="F96" s="160" t="s">
        <v>213</v>
      </c>
      <c r="G96" s="63">
        <v>74900</v>
      </c>
      <c r="H96" s="19">
        <f>A96*G96</f>
        <v>74900</v>
      </c>
      <c r="I96" s="61" t="s">
        <v>214</v>
      </c>
    </row>
    <row r="97" spans="1:9" ht="12.75" customHeight="1" outlineLevel="1" x14ac:dyDescent="0.3">
      <c r="A97" s="60">
        <v>1</v>
      </c>
      <c r="B97" s="60" t="s">
        <v>13</v>
      </c>
      <c r="C97" s="293" t="s">
        <v>215</v>
      </c>
      <c r="D97" s="49"/>
      <c r="E97" s="59">
        <v>44877</v>
      </c>
      <c r="F97" s="160" t="s">
        <v>216</v>
      </c>
      <c r="G97" s="63">
        <v>99500</v>
      </c>
      <c r="H97" s="19">
        <f>A97*G97</f>
        <v>99500</v>
      </c>
      <c r="I97" s="61" t="s">
        <v>217</v>
      </c>
    </row>
    <row r="98" spans="1:9" ht="12.75" customHeight="1" outlineLevel="1" x14ac:dyDescent="0.3">
      <c r="A98" s="60">
        <v>2</v>
      </c>
      <c r="B98" s="60" t="s">
        <v>18</v>
      </c>
      <c r="C98" s="288" t="s">
        <v>218</v>
      </c>
      <c r="D98" s="49"/>
      <c r="E98" s="59">
        <v>44651</v>
      </c>
      <c r="F98" s="160" t="s">
        <v>219</v>
      </c>
      <c r="G98" s="63">
        <v>75000</v>
      </c>
      <c r="H98" s="19">
        <f>A98*G98</f>
        <v>150000</v>
      </c>
      <c r="I98" s="61" t="s">
        <v>51</v>
      </c>
    </row>
    <row r="99" spans="1:9" s="120" customFormat="1" ht="12.75" customHeight="1" outlineLevel="1" x14ac:dyDescent="0.3">
      <c r="A99" s="166">
        <v>2</v>
      </c>
      <c r="B99" s="166" t="s">
        <v>18</v>
      </c>
      <c r="C99" s="301" t="s">
        <v>143</v>
      </c>
      <c r="D99" s="167"/>
      <c r="E99" s="168">
        <v>44651</v>
      </c>
      <c r="F99" s="166" t="s">
        <v>220</v>
      </c>
      <c r="G99" s="169">
        <v>65000</v>
      </c>
      <c r="H99" s="118">
        <f>A99*G99</f>
        <v>130000</v>
      </c>
      <c r="I99" s="170" t="s">
        <v>51</v>
      </c>
    </row>
    <row r="100" spans="1:9" s="120" customFormat="1" ht="12.75" customHeight="1" outlineLevel="1" x14ac:dyDescent="0.3">
      <c r="A100" s="121">
        <v>3</v>
      </c>
      <c r="B100" s="108" t="s">
        <v>13</v>
      </c>
      <c r="C100" s="302" t="s">
        <v>221</v>
      </c>
      <c r="D100" s="108"/>
      <c r="E100" s="121">
        <v>2020</v>
      </c>
      <c r="F100" s="107" t="s">
        <v>222</v>
      </c>
      <c r="G100" s="171">
        <v>67350</v>
      </c>
      <c r="H100" s="124">
        <f>A100*G100</f>
        <v>202050</v>
      </c>
      <c r="I100" s="127" t="s">
        <v>54</v>
      </c>
    </row>
    <row r="101" spans="1:9" s="120" customFormat="1" ht="16.5" customHeight="1" outlineLevel="1" x14ac:dyDescent="0.3">
      <c r="A101" s="109">
        <v>1</v>
      </c>
      <c r="B101" s="109" t="s">
        <v>96</v>
      </c>
      <c r="C101" s="299" t="s">
        <v>223</v>
      </c>
      <c r="D101" s="109"/>
      <c r="E101" s="122">
        <v>39052</v>
      </c>
      <c r="F101" s="105" t="s">
        <v>224</v>
      </c>
      <c r="G101" s="123">
        <v>69290</v>
      </c>
      <c r="H101" s="124">
        <f>A101*G101</f>
        <v>69290</v>
      </c>
      <c r="I101" s="125" t="s">
        <v>225</v>
      </c>
    </row>
    <row r="102" spans="1:9" s="120" customFormat="1" ht="16.5" customHeight="1" outlineLevel="1" x14ac:dyDescent="0.3">
      <c r="A102" s="109">
        <v>1</v>
      </c>
      <c r="B102" s="109" t="s">
        <v>13</v>
      </c>
      <c r="C102" s="300" t="s">
        <v>226</v>
      </c>
      <c r="D102" s="109"/>
      <c r="E102" s="122">
        <v>40057</v>
      </c>
      <c r="F102" s="105" t="s">
        <v>227</v>
      </c>
      <c r="G102" s="123">
        <v>59600</v>
      </c>
      <c r="H102" s="124">
        <f>A102*G102</f>
        <v>59600</v>
      </c>
      <c r="I102" s="125" t="s">
        <v>225</v>
      </c>
    </row>
    <row r="103" spans="1:9" s="120" customFormat="1" ht="16.5" customHeight="1" outlineLevel="1" x14ac:dyDescent="0.3">
      <c r="A103" s="109">
        <v>1</v>
      </c>
      <c r="B103" s="109" t="s">
        <v>13</v>
      </c>
      <c r="C103" s="299" t="s">
        <v>228</v>
      </c>
      <c r="D103" s="109"/>
      <c r="E103" s="122">
        <v>41974</v>
      </c>
      <c r="F103" s="105" t="s">
        <v>229</v>
      </c>
      <c r="G103" s="123">
        <v>74500</v>
      </c>
      <c r="H103" s="124">
        <f>A103*G103</f>
        <v>74500</v>
      </c>
      <c r="I103" s="125" t="s">
        <v>225</v>
      </c>
    </row>
    <row r="104" spans="1:9" s="120" customFormat="1" ht="16.5" customHeight="1" outlineLevel="1" x14ac:dyDescent="0.3">
      <c r="A104" s="109">
        <v>1</v>
      </c>
      <c r="B104" s="109" t="s">
        <v>13</v>
      </c>
      <c r="C104" s="300" t="s">
        <v>230</v>
      </c>
      <c r="D104" s="109"/>
      <c r="E104" s="172" t="s">
        <v>231</v>
      </c>
      <c r="F104" s="106" t="s">
        <v>232</v>
      </c>
      <c r="G104" s="123">
        <v>39000</v>
      </c>
      <c r="H104" s="124">
        <f>A104*G104</f>
        <v>39000</v>
      </c>
      <c r="I104" s="125" t="s">
        <v>225</v>
      </c>
    </row>
    <row r="105" spans="1:9" s="120" customFormat="1" ht="12.75" customHeight="1" outlineLevel="1" x14ac:dyDescent="0.3">
      <c r="A105" s="109">
        <v>1</v>
      </c>
      <c r="B105" s="109" t="s">
        <v>13</v>
      </c>
      <c r="C105" s="300" t="s">
        <v>233</v>
      </c>
      <c r="D105" s="109"/>
      <c r="E105" s="172" t="s">
        <v>65</v>
      </c>
      <c r="F105" s="106" t="s">
        <v>234</v>
      </c>
      <c r="G105" s="123">
        <v>69800</v>
      </c>
      <c r="H105" s="124">
        <f>A105*G105</f>
        <v>69800</v>
      </c>
      <c r="I105" s="127" t="s">
        <v>67</v>
      </c>
    </row>
    <row r="106" spans="1:9" s="120" customFormat="1" ht="12" customHeight="1" outlineLevel="1" x14ac:dyDescent="0.3">
      <c r="A106" s="109">
        <v>1</v>
      </c>
      <c r="B106" s="109" t="s">
        <v>96</v>
      </c>
      <c r="C106" s="173" t="s">
        <v>235</v>
      </c>
      <c r="D106" s="109"/>
      <c r="E106" s="172" t="s">
        <v>74</v>
      </c>
      <c r="F106" s="106" t="s">
        <v>236</v>
      </c>
      <c r="G106" s="123">
        <v>59500</v>
      </c>
      <c r="H106" s="124">
        <f>A106*G106</f>
        <v>59500</v>
      </c>
      <c r="I106" s="127" t="s">
        <v>67</v>
      </c>
    </row>
    <row r="107" spans="1:9" s="120" customFormat="1" ht="12.75" customHeight="1" outlineLevel="1" x14ac:dyDescent="0.3">
      <c r="A107" s="109">
        <v>1</v>
      </c>
      <c r="B107" s="109" t="s">
        <v>13</v>
      </c>
      <c r="C107" s="300" t="s">
        <v>218</v>
      </c>
      <c r="D107" s="109"/>
      <c r="E107" s="172" t="s">
        <v>77</v>
      </c>
      <c r="F107" s="106" t="s">
        <v>237</v>
      </c>
      <c r="G107" s="123">
        <v>89500</v>
      </c>
      <c r="H107" s="124">
        <f>A107*G107</f>
        <v>89500</v>
      </c>
      <c r="I107" s="127" t="s">
        <v>67</v>
      </c>
    </row>
    <row r="108" spans="1:9" s="120" customFormat="1" ht="16.5" customHeight="1" outlineLevel="1" x14ac:dyDescent="0.3">
      <c r="A108" s="109">
        <v>2</v>
      </c>
      <c r="B108" s="109" t="s">
        <v>18</v>
      </c>
      <c r="C108" s="300" t="s">
        <v>238</v>
      </c>
      <c r="D108" s="109"/>
      <c r="E108" s="122">
        <v>41244</v>
      </c>
      <c r="F108" s="109" t="s">
        <v>239</v>
      </c>
      <c r="G108" s="123">
        <v>34900</v>
      </c>
      <c r="H108" s="124">
        <f>A108*G108</f>
        <v>69800</v>
      </c>
      <c r="I108" s="125" t="s">
        <v>240</v>
      </c>
    </row>
    <row r="109" spans="1:9" s="120" customFormat="1" ht="16.5" customHeight="1" outlineLevel="1" x14ac:dyDescent="0.3">
      <c r="A109" s="109">
        <v>1</v>
      </c>
      <c r="B109" s="109" t="s">
        <v>13</v>
      </c>
      <c r="C109" s="300" t="s">
        <v>241</v>
      </c>
      <c r="D109" s="109"/>
      <c r="E109" s="126">
        <v>42826</v>
      </c>
      <c r="F109" s="104" t="s">
        <v>242</v>
      </c>
      <c r="G109" s="123">
        <v>80500</v>
      </c>
      <c r="H109" s="124">
        <f>A109*G109</f>
        <v>80500</v>
      </c>
      <c r="I109" s="125" t="s">
        <v>243</v>
      </c>
    </row>
    <row r="110" spans="1:9" s="120" customFormat="1" ht="16.5" customHeight="1" outlineLevel="1" x14ac:dyDescent="0.3">
      <c r="A110" s="109">
        <v>1</v>
      </c>
      <c r="B110" s="109" t="s">
        <v>13</v>
      </c>
      <c r="C110" s="300" t="s">
        <v>169</v>
      </c>
      <c r="D110" s="109"/>
      <c r="E110" s="126">
        <v>45461</v>
      </c>
      <c r="F110" s="109" t="s">
        <v>170</v>
      </c>
      <c r="G110" s="123">
        <v>99500</v>
      </c>
      <c r="H110" s="124">
        <f>A110*G110</f>
        <v>99500</v>
      </c>
      <c r="I110" s="125" t="s">
        <v>243</v>
      </c>
    </row>
    <row r="111" spans="1:9" ht="16.5" customHeight="1" x14ac:dyDescent="0.3">
      <c r="A111" s="330" t="s">
        <v>244</v>
      </c>
      <c r="B111" s="331"/>
      <c r="C111" s="331"/>
      <c r="D111" s="331"/>
      <c r="E111" s="331"/>
      <c r="F111" s="332"/>
      <c r="G111" s="35"/>
      <c r="H111" s="32">
        <f>SUM(H50:H110)</f>
        <v>6684196</v>
      </c>
      <c r="I111" s="36"/>
    </row>
    <row r="112" spans="1:9" s="120" customFormat="1" ht="16.5" customHeight="1" x14ac:dyDescent="0.3">
      <c r="A112" s="174">
        <v>1</v>
      </c>
      <c r="B112" s="174" t="s">
        <v>13</v>
      </c>
      <c r="C112" s="303" t="s">
        <v>245</v>
      </c>
      <c r="D112" s="174"/>
      <c r="E112" s="175">
        <v>41579</v>
      </c>
      <c r="F112" s="105" t="s">
        <v>247</v>
      </c>
      <c r="G112" s="176">
        <v>99000</v>
      </c>
      <c r="H112" s="177">
        <f>A112*G112</f>
        <v>99000</v>
      </c>
      <c r="I112" s="178" t="s">
        <v>21</v>
      </c>
    </row>
    <row r="113" spans="1:9" s="120" customFormat="1" ht="16.5" customHeight="1" x14ac:dyDescent="0.3">
      <c r="A113" s="109">
        <v>1</v>
      </c>
      <c r="B113" s="109" t="s">
        <v>13</v>
      </c>
      <c r="C113" s="299" t="s">
        <v>248</v>
      </c>
      <c r="D113" s="174"/>
      <c r="E113" s="122">
        <v>43451</v>
      </c>
      <c r="F113" s="105" t="s">
        <v>249</v>
      </c>
      <c r="G113" s="124">
        <v>428000</v>
      </c>
      <c r="H113" s="177">
        <f>A113*G113</f>
        <v>428000</v>
      </c>
      <c r="I113" s="178" t="s">
        <v>250</v>
      </c>
    </row>
    <row r="114" spans="1:9" ht="16.5" customHeight="1" x14ac:dyDescent="0.3">
      <c r="A114" s="17">
        <v>1</v>
      </c>
      <c r="B114" s="17" t="s">
        <v>13</v>
      </c>
      <c r="C114" s="292" t="s">
        <v>251</v>
      </c>
      <c r="D114" s="17"/>
      <c r="E114" s="24">
        <v>43816</v>
      </c>
      <c r="F114" s="17"/>
      <c r="G114" s="19">
        <v>571478.96</v>
      </c>
      <c r="H114" s="67">
        <f>A114*G114</f>
        <v>571478.96</v>
      </c>
      <c r="I114" s="68" t="s">
        <v>252</v>
      </c>
    </row>
    <row r="115" spans="1:9" ht="16.5" customHeight="1" x14ac:dyDescent="0.3">
      <c r="A115" s="330" t="s">
        <v>253</v>
      </c>
      <c r="B115" s="331"/>
      <c r="C115" s="331"/>
      <c r="D115" s="331"/>
      <c r="E115" s="331"/>
      <c r="F115" s="332"/>
      <c r="G115" s="35"/>
      <c r="H115" s="32">
        <f>SUM(H112:H114)</f>
        <v>1098478.96</v>
      </c>
      <c r="I115" s="36"/>
    </row>
    <row r="116" spans="1:9" ht="16.5" customHeight="1" x14ac:dyDescent="0.3">
      <c r="A116" s="340" t="s">
        <v>254</v>
      </c>
      <c r="B116" s="341"/>
      <c r="C116" s="341"/>
      <c r="D116" s="341"/>
      <c r="E116" s="341"/>
      <c r="F116" s="342"/>
      <c r="G116" s="35"/>
      <c r="H116" s="32">
        <v>0</v>
      </c>
      <c r="I116" s="36"/>
    </row>
    <row r="117" spans="1:9" s="134" customFormat="1" ht="16.5" customHeight="1" outlineLevel="1" x14ac:dyDescent="0.3">
      <c r="A117" s="135">
        <v>1</v>
      </c>
      <c r="B117" s="135" t="s">
        <v>22</v>
      </c>
      <c r="C117" s="179" t="s">
        <v>255</v>
      </c>
      <c r="D117" s="135"/>
      <c r="E117" s="180" t="s">
        <v>257</v>
      </c>
      <c r="F117" s="181" t="s">
        <v>258</v>
      </c>
      <c r="G117" s="138">
        <v>60000</v>
      </c>
      <c r="H117" s="138">
        <f>A117*G117</f>
        <v>60000</v>
      </c>
      <c r="I117" s="182" t="s">
        <v>88</v>
      </c>
    </row>
    <row r="118" spans="1:9" s="134" customFormat="1" ht="16.5" customHeight="1" outlineLevel="1" x14ac:dyDescent="0.3">
      <c r="A118" s="135">
        <v>1</v>
      </c>
      <c r="B118" s="135" t="s">
        <v>103</v>
      </c>
      <c r="C118" s="294" t="s">
        <v>259</v>
      </c>
      <c r="D118" s="135"/>
      <c r="E118" s="180" t="s">
        <v>260</v>
      </c>
      <c r="F118" s="181" t="s">
        <v>261</v>
      </c>
      <c r="G118" s="138">
        <v>69900</v>
      </c>
      <c r="H118" s="138">
        <f>A118*G118</f>
        <v>69900</v>
      </c>
      <c r="I118" s="182" t="s">
        <v>88</v>
      </c>
    </row>
    <row r="119" spans="1:9" s="134" customFormat="1" ht="16.5" customHeight="1" outlineLevel="1" x14ac:dyDescent="0.3">
      <c r="A119" s="135">
        <v>1</v>
      </c>
      <c r="B119" s="135" t="s">
        <v>22</v>
      </c>
      <c r="C119" s="294" t="s">
        <v>262</v>
      </c>
      <c r="D119" s="135"/>
      <c r="E119" s="183" t="s">
        <v>263</v>
      </c>
      <c r="F119" s="135"/>
      <c r="G119" s="138">
        <v>1190000</v>
      </c>
      <c r="H119" s="138">
        <f>A119*G119</f>
        <v>1190000</v>
      </c>
      <c r="I119" s="182" t="s">
        <v>264</v>
      </c>
    </row>
    <row r="120" spans="1:9" s="134" customFormat="1" ht="16.5" customHeight="1" outlineLevel="1" x14ac:dyDescent="0.3">
      <c r="A120" s="135">
        <v>1</v>
      </c>
      <c r="B120" s="135" t="s">
        <v>13</v>
      </c>
      <c r="C120" s="294" t="s">
        <v>265</v>
      </c>
      <c r="D120" s="135"/>
      <c r="E120" s="180" t="s">
        <v>266</v>
      </c>
      <c r="F120" s="152" t="s">
        <v>267</v>
      </c>
      <c r="G120" s="138">
        <v>109000</v>
      </c>
      <c r="H120" s="138">
        <f>A120*G120</f>
        <v>109000</v>
      </c>
      <c r="I120" s="182" t="s">
        <v>88</v>
      </c>
    </row>
    <row r="121" spans="1:9" s="134" customFormat="1" ht="16.5" customHeight="1" outlineLevel="1" x14ac:dyDescent="0.3">
      <c r="A121" s="135">
        <v>2</v>
      </c>
      <c r="B121" s="135" t="s">
        <v>108</v>
      </c>
      <c r="C121" s="294" t="s">
        <v>268</v>
      </c>
      <c r="D121" s="135"/>
      <c r="E121" s="180" t="s">
        <v>269</v>
      </c>
      <c r="F121" s="135" t="s">
        <v>270</v>
      </c>
      <c r="G121" s="138">
        <v>26000</v>
      </c>
      <c r="H121" s="138">
        <f>A121*G121</f>
        <v>52000</v>
      </c>
      <c r="I121" s="182" t="s">
        <v>88</v>
      </c>
    </row>
    <row r="122" spans="1:9" s="134" customFormat="1" ht="16.5" customHeight="1" outlineLevel="1" x14ac:dyDescent="0.3">
      <c r="A122" s="135">
        <v>40</v>
      </c>
      <c r="B122" s="135" t="s">
        <v>108</v>
      </c>
      <c r="C122" s="294" t="s">
        <v>271</v>
      </c>
      <c r="D122" s="135"/>
      <c r="E122" s="136">
        <v>43361</v>
      </c>
      <c r="F122" s="135" t="s">
        <v>272</v>
      </c>
      <c r="G122" s="138">
        <v>1522.5</v>
      </c>
      <c r="H122" s="138">
        <f>A122*G122</f>
        <v>60900</v>
      </c>
      <c r="I122" s="182" t="s">
        <v>88</v>
      </c>
    </row>
    <row r="123" spans="1:9" s="134" customFormat="1" ht="16.5" customHeight="1" outlineLevel="1" x14ac:dyDescent="0.3">
      <c r="A123" s="135">
        <v>1</v>
      </c>
      <c r="B123" s="135" t="s">
        <v>13</v>
      </c>
      <c r="C123" s="294" t="s">
        <v>273</v>
      </c>
      <c r="D123" s="135"/>
      <c r="E123" s="136">
        <v>43363</v>
      </c>
      <c r="F123" s="152" t="s">
        <v>274</v>
      </c>
      <c r="G123" s="138">
        <v>250000</v>
      </c>
      <c r="H123" s="138">
        <f>A123*G123</f>
        <v>250000</v>
      </c>
      <c r="I123" s="182" t="s">
        <v>88</v>
      </c>
    </row>
    <row r="124" spans="1:9" s="134" customFormat="1" ht="16.5" customHeight="1" outlineLevel="1" x14ac:dyDescent="0.3">
      <c r="A124" s="135">
        <v>1</v>
      </c>
      <c r="B124" s="135" t="s">
        <v>13</v>
      </c>
      <c r="C124" s="294" t="s">
        <v>275</v>
      </c>
      <c r="D124" s="135"/>
      <c r="E124" s="136">
        <v>43363</v>
      </c>
      <c r="F124" s="152" t="s">
        <v>276</v>
      </c>
      <c r="G124" s="138">
        <v>70000</v>
      </c>
      <c r="H124" s="138">
        <f>A124*G124</f>
        <v>70000</v>
      </c>
      <c r="I124" s="182" t="s">
        <v>88</v>
      </c>
    </row>
    <row r="125" spans="1:9" s="134" customFormat="1" ht="16.5" customHeight="1" outlineLevel="1" x14ac:dyDescent="0.3">
      <c r="A125" s="135">
        <v>1</v>
      </c>
      <c r="B125" s="135" t="s">
        <v>13</v>
      </c>
      <c r="C125" s="294" t="s">
        <v>277</v>
      </c>
      <c r="D125" s="135"/>
      <c r="E125" s="136">
        <v>45200</v>
      </c>
      <c r="F125" s="152" t="s">
        <v>278</v>
      </c>
      <c r="G125" s="142">
        <v>151900</v>
      </c>
      <c r="H125" s="138">
        <f>A125*G125</f>
        <v>151900</v>
      </c>
      <c r="I125" s="182" t="s">
        <v>88</v>
      </c>
    </row>
    <row r="126" spans="1:9" s="134" customFormat="1" ht="16.5" customHeight="1" outlineLevel="1" x14ac:dyDescent="0.3">
      <c r="A126" s="135">
        <v>1</v>
      </c>
      <c r="B126" s="135" t="s">
        <v>13</v>
      </c>
      <c r="C126" s="294" t="s">
        <v>279</v>
      </c>
      <c r="D126" s="135"/>
      <c r="E126" s="136">
        <v>44593</v>
      </c>
      <c r="F126" s="152" t="s">
        <v>280</v>
      </c>
      <c r="G126" s="142">
        <v>79465</v>
      </c>
      <c r="H126" s="138">
        <f>A126*G126</f>
        <v>79465</v>
      </c>
      <c r="I126" s="182" t="s">
        <v>88</v>
      </c>
    </row>
    <row r="127" spans="1:9" s="134" customFormat="1" ht="16.5" customHeight="1" outlineLevel="1" x14ac:dyDescent="0.3">
      <c r="A127" s="135">
        <v>1</v>
      </c>
      <c r="B127" s="135" t="s">
        <v>13</v>
      </c>
      <c r="C127" s="294" t="s">
        <v>281</v>
      </c>
      <c r="D127" s="135"/>
      <c r="E127" s="136">
        <v>44593</v>
      </c>
      <c r="F127" s="152" t="s">
        <v>282</v>
      </c>
      <c r="G127" s="142">
        <v>118500</v>
      </c>
      <c r="H127" s="138">
        <f>A127*G127</f>
        <v>118500</v>
      </c>
      <c r="I127" s="182" t="s">
        <v>88</v>
      </c>
    </row>
    <row r="128" spans="1:9" s="134" customFormat="1" ht="16.5" customHeight="1" outlineLevel="1" x14ac:dyDescent="0.3">
      <c r="A128" s="135">
        <v>1</v>
      </c>
      <c r="B128" s="135" t="s">
        <v>13</v>
      </c>
      <c r="C128" s="294" t="s">
        <v>283</v>
      </c>
      <c r="D128" s="135"/>
      <c r="E128" s="180" t="s">
        <v>71</v>
      </c>
      <c r="F128" s="152" t="s">
        <v>284</v>
      </c>
      <c r="G128" s="142">
        <v>110500</v>
      </c>
      <c r="H128" s="138">
        <f>A128*G128</f>
        <v>110500</v>
      </c>
      <c r="I128" s="182" t="s">
        <v>88</v>
      </c>
    </row>
    <row r="129" spans="1:9" s="134" customFormat="1" ht="16.5" customHeight="1" outlineLevel="1" x14ac:dyDescent="0.3">
      <c r="A129" s="135">
        <v>10</v>
      </c>
      <c r="B129" s="135" t="s">
        <v>108</v>
      </c>
      <c r="C129" s="304" t="s">
        <v>285</v>
      </c>
      <c r="D129" s="135"/>
      <c r="E129" s="180" t="s">
        <v>71</v>
      </c>
      <c r="F129" s="135" t="s">
        <v>286</v>
      </c>
      <c r="G129" s="142">
        <v>10770</v>
      </c>
      <c r="H129" s="138">
        <f>A129*G129</f>
        <v>107700</v>
      </c>
      <c r="I129" s="182" t="s">
        <v>88</v>
      </c>
    </row>
    <row r="130" spans="1:9" s="134" customFormat="1" ht="16.5" customHeight="1" outlineLevel="1" x14ac:dyDescent="0.3">
      <c r="A130" s="135">
        <v>200</v>
      </c>
      <c r="B130" s="135" t="s">
        <v>108</v>
      </c>
      <c r="C130" s="294" t="s">
        <v>287</v>
      </c>
      <c r="D130" s="135"/>
      <c r="E130" s="180" t="s">
        <v>71</v>
      </c>
      <c r="F130" s="135" t="s">
        <v>288</v>
      </c>
      <c r="G130" s="142">
        <v>505</v>
      </c>
      <c r="H130" s="138">
        <f>A130*G130</f>
        <v>101000</v>
      </c>
      <c r="I130" s="182" t="s">
        <v>88</v>
      </c>
    </row>
    <row r="131" spans="1:9" s="134" customFormat="1" ht="16.5" customHeight="1" outlineLevel="1" x14ac:dyDescent="0.3">
      <c r="A131" s="135">
        <v>50</v>
      </c>
      <c r="B131" s="135" t="s">
        <v>108</v>
      </c>
      <c r="C131" s="294" t="s">
        <v>289</v>
      </c>
      <c r="D131" s="135"/>
      <c r="E131" s="180" t="s">
        <v>71</v>
      </c>
      <c r="F131" s="135" t="s">
        <v>290</v>
      </c>
      <c r="G131" s="142">
        <v>1580</v>
      </c>
      <c r="H131" s="138">
        <f>A131*G131</f>
        <v>79000</v>
      </c>
      <c r="I131" s="182" t="s">
        <v>88</v>
      </c>
    </row>
    <row r="132" spans="1:9" s="134" customFormat="1" ht="16.5" customHeight="1" outlineLevel="1" x14ac:dyDescent="0.3">
      <c r="A132" s="135">
        <v>2</v>
      </c>
      <c r="B132" s="135" t="s">
        <v>108</v>
      </c>
      <c r="C132" s="294" t="s">
        <v>291</v>
      </c>
      <c r="D132" s="135"/>
      <c r="E132" s="180" t="s">
        <v>269</v>
      </c>
      <c r="F132" s="135" t="s">
        <v>292</v>
      </c>
      <c r="G132" s="142">
        <v>46000</v>
      </c>
      <c r="H132" s="138">
        <f>A132*G132</f>
        <v>92000</v>
      </c>
      <c r="I132" s="182" t="s">
        <v>88</v>
      </c>
    </row>
    <row r="133" spans="1:9" s="134" customFormat="1" ht="16.5" customHeight="1" outlineLevel="1" x14ac:dyDescent="0.3">
      <c r="A133" s="135">
        <v>1</v>
      </c>
      <c r="B133" s="135" t="s">
        <v>96</v>
      </c>
      <c r="C133" s="294" t="s">
        <v>293</v>
      </c>
      <c r="D133" s="135"/>
      <c r="E133" s="183" t="s">
        <v>294</v>
      </c>
      <c r="F133" s="135"/>
      <c r="G133" s="142">
        <v>198500</v>
      </c>
      <c r="H133" s="138">
        <f>A133*G133</f>
        <v>198500</v>
      </c>
      <c r="I133" s="182" t="s">
        <v>88</v>
      </c>
    </row>
    <row r="134" spans="1:9" s="134" customFormat="1" ht="16.5" customHeight="1" outlineLevel="1" x14ac:dyDescent="0.3">
      <c r="A134" s="135">
        <v>3</v>
      </c>
      <c r="B134" s="135" t="s">
        <v>96</v>
      </c>
      <c r="C134" s="294" t="s">
        <v>295</v>
      </c>
      <c r="D134" s="135"/>
      <c r="E134" s="183" t="s">
        <v>296</v>
      </c>
      <c r="F134" s="135"/>
      <c r="G134" s="142">
        <v>65600</v>
      </c>
      <c r="H134" s="138">
        <f>A134*G134</f>
        <v>196800</v>
      </c>
      <c r="I134" s="182" t="s">
        <v>88</v>
      </c>
    </row>
    <row r="135" spans="1:9" s="134" customFormat="1" ht="16.5" customHeight="1" outlineLevel="1" x14ac:dyDescent="0.3">
      <c r="A135" s="135">
        <v>1</v>
      </c>
      <c r="B135" s="135" t="s">
        <v>13</v>
      </c>
      <c r="C135" s="294" t="s">
        <v>297</v>
      </c>
      <c r="D135" s="135"/>
      <c r="E135" s="136">
        <v>45200</v>
      </c>
      <c r="F135" s="135" t="s">
        <v>298</v>
      </c>
      <c r="G135" s="142">
        <v>89000</v>
      </c>
      <c r="H135" s="138">
        <f>A135*G135</f>
        <v>89000</v>
      </c>
      <c r="I135" s="182" t="s">
        <v>88</v>
      </c>
    </row>
    <row r="136" spans="1:9" s="134" customFormat="1" ht="16.5" customHeight="1" outlineLevel="1" x14ac:dyDescent="0.3">
      <c r="A136" s="135">
        <v>2</v>
      </c>
      <c r="B136" s="135" t="s">
        <v>13</v>
      </c>
      <c r="C136" s="294" t="s">
        <v>299</v>
      </c>
      <c r="D136" s="135"/>
      <c r="E136" s="136">
        <v>45581</v>
      </c>
      <c r="F136" s="135" t="s">
        <v>300</v>
      </c>
      <c r="G136" s="142">
        <v>89500</v>
      </c>
      <c r="H136" s="138">
        <f>A136*G136</f>
        <v>179000</v>
      </c>
      <c r="I136" s="182" t="s">
        <v>88</v>
      </c>
    </row>
    <row r="137" spans="1:9" s="134" customFormat="1" ht="24.75" customHeight="1" outlineLevel="1" x14ac:dyDescent="0.3">
      <c r="A137" s="135">
        <v>2</v>
      </c>
      <c r="B137" s="135" t="s">
        <v>96</v>
      </c>
      <c r="C137" s="307" t="s">
        <v>301</v>
      </c>
      <c r="D137" s="135"/>
      <c r="E137" s="136">
        <v>45581</v>
      </c>
      <c r="F137" s="135" t="s">
        <v>302</v>
      </c>
      <c r="G137" s="142">
        <v>70995</v>
      </c>
      <c r="H137" s="138">
        <f>A137*G137</f>
        <v>141990</v>
      </c>
      <c r="I137" s="182" t="s">
        <v>88</v>
      </c>
    </row>
    <row r="138" spans="1:9" s="134" customFormat="1" ht="16.5" customHeight="1" outlineLevel="1" x14ac:dyDescent="0.3">
      <c r="A138" s="184">
        <v>1</v>
      </c>
      <c r="B138" s="184" t="s">
        <v>13</v>
      </c>
      <c r="C138" s="308" t="s">
        <v>303</v>
      </c>
      <c r="D138" s="184"/>
      <c r="E138" s="185">
        <v>42961</v>
      </c>
      <c r="F138" s="135" t="s">
        <v>305</v>
      </c>
      <c r="G138" s="186">
        <v>1018560</v>
      </c>
      <c r="H138" s="138">
        <f>A138*G138</f>
        <v>1018560</v>
      </c>
      <c r="I138" s="187" t="s">
        <v>306</v>
      </c>
    </row>
    <row r="139" spans="1:9" s="134" customFormat="1" ht="12.75" customHeight="1" outlineLevel="1" x14ac:dyDescent="0.3">
      <c r="A139" s="184">
        <v>1</v>
      </c>
      <c r="B139" s="184" t="s">
        <v>13</v>
      </c>
      <c r="C139" s="308" t="s">
        <v>307</v>
      </c>
      <c r="D139" s="184"/>
      <c r="E139" s="188" t="s">
        <v>77</v>
      </c>
      <c r="F139" s="135" t="s">
        <v>308</v>
      </c>
      <c r="G139" s="189">
        <v>1879500</v>
      </c>
      <c r="H139" s="138">
        <f>A139*G139</f>
        <v>1879500</v>
      </c>
      <c r="I139" s="190" t="s">
        <v>306</v>
      </c>
    </row>
    <row r="140" spans="1:9" s="134" customFormat="1" ht="12.75" customHeight="1" outlineLevel="1" x14ac:dyDescent="0.3">
      <c r="A140" s="184">
        <v>1</v>
      </c>
      <c r="B140" s="184" t="s">
        <v>13</v>
      </c>
      <c r="C140" s="308" t="s">
        <v>309</v>
      </c>
      <c r="D140" s="184"/>
      <c r="E140" s="191">
        <v>44812</v>
      </c>
      <c r="F140" s="135" t="s">
        <v>310</v>
      </c>
      <c r="G140" s="189">
        <v>1244948</v>
      </c>
      <c r="H140" s="138">
        <f>A140*G140</f>
        <v>1244948</v>
      </c>
      <c r="I140" s="190" t="s">
        <v>306</v>
      </c>
    </row>
    <row r="141" spans="1:9" s="134" customFormat="1" ht="16.5" customHeight="1" outlineLevel="1" x14ac:dyDescent="0.3">
      <c r="A141" s="192">
        <v>1</v>
      </c>
      <c r="B141" s="193" t="s">
        <v>13</v>
      </c>
      <c r="C141" s="187" t="s">
        <v>311</v>
      </c>
      <c r="D141" s="194"/>
      <c r="E141" s="195">
        <v>44875</v>
      </c>
      <c r="F141" s="135" t="s">
        <v>313</v>
      </c>
      <c r="G141" s="189">
        <v>2790000</v>
      </c>
      <c r="H141" s="138">
        <f>A141*G141</f>
        <v>2790000</v>
      </c>
      <c r="I141" s="196" t="s">
        <v>306</v>
      </c>
    </row>
    <row r="142" spans="1:9" s="134" customFormat="1" ht="16.5" customHeight="1" outlineLevel="1" x14ac:dyDescent="0.3">
      <c r="A142" s="135">
        <v>1</v>
      </c>
      <c r="B142" s="135" t="s">
        <v>96</v>
      </c>
      <c r="C142" s="294" t="s">
        <v>314</v>
      </c>
      <c r="D142" s="184"/>
      <c r="E142" s="141" t="s">
        <v>315</v>
      </c>
      <c r="F142" s="135" t="s">
        <v>316</v>
      </c>
      <c r="G142" s="138">
        <v>3350000</v>
      </c>
      <c r="H142" s="138">
        <f>A142*G142</f>
        <v>3350000</v>
      </c>
      <c r="I142" s="190" t="s">
        <v>317</v>
      </c>
    </row>
    <row r="143" spans="1:9" s="134" customFormat="1" ht="16.5" customHeight="1" outlineLevel="1" x14ac:dyDescent="0.3">
      <c r="A143" s="135">
        <v>1</v>
      </c>
      <c r="B143" s="135" t="s">
        <v>96</v>
      </c>
      <c r="C143" s="294" t="s">
        <v>318</v>
      </c>
      <c r="D143" s="135"/>
      <c r="E143" s="180" t="s">
        <v>320</v>
      </c>
      <c r="F143" s="135" t="s">
        <v>321</v>
      </c>
      <c r="G143" s="138">
        <v>459730</v>
      </c>
      <c r="H143" s="138">
        <f>A143*G143</f>
        <v>459730</v>
      </c>
      <c r="I143" s="190" t="s">
        <v>317</v>
      </c>
    </row>
    <row r="144" spans="1:9" s="134" customFormat="1" ht="16.5" customHeight="1" outlineLevel="1" x14ac:dyDescent="0.3">
      <c r="A144" s="135">
        <v>1</v>
      </c>
      <c r="B144" s="135" t="s">
        <v>96</v>
      </c>
      <c r="C144" s="197" t="s">
        <v>322</v>
      </c>
      <c r="D144" s="135"/>
      <c r="E144" s="198" t="s">
        <v>323</v>
      </c>
      <c r="F144" s="199"/>
      <c r="G144" s="200">
        <v>27836</v>
      </c>
      <c r="H144" s="138">
        <f>A144*G144</f>
        <v>27836</v>
      </c>
      <c r="I144" s="190"/>
    </row>
    <row r="145" spans="1:9" s="134" customFormat="1" ht="16.5" customHeight="1" outlineLevel="1" x14ac:dyDescent="0.3">
      <c r="A145" s="135">
        <v>1</v>
      </c>
      <c r="B145" s="135" t="s">
        <v>13</v>
      </c>
      <c r="C145" s="305" t="s">
        <v>324</v>
      </c>
      <c r="D145" s="184"/>
      <c r="E145" s="201">
        <v>46007</v>
      </c>
      <c r="F145" s="202" t="s">
        <v>325</v>
      </c>
      <c r="G145" s="203">
        <v>233650</v>
      </c>
      <c r="H145" s="138">
        <f>A145*G145</f>
        <v>233650</v>
      </c>
      <c r="I145" s="190" t="s">
        <v>306</v>
      </c>
    </row>
    <row r="146" spans="1:9" s="134" customFormat="1" ht="16.5" customHeight="1" outlineLevel="1" x14ac:dyDescent="0.3">
      <c r="A146" s="135">
        <v>1</v>
      </c>
      <c r="B146" s="135" t="s">
        <v>13</v>
      </c>
      <c r="C146" s="306" t="s">
        <v>326</v>
      </c>
      <c r="D146" s="184"/>
      <c r="E146" s="201">
        <v>46007</v>
      </c>
      <c r="F146" s="202" t="s">
        <v>327</v>
      </c>
      <c r="G146" s="203">
        <v>219675</v>
      </c>
      <c r="H146" s="138">
        <f>A146*G146</f>
        <v>219675</v>
      </c>
      <c r="I146" s="190" t="s">
        <v>306</v>
      </c>
    </row>
    <row r="147" spans="1:9" s="134" customFormat="1" ht="16.5" customHeight="1" outlineLevel="1" x14ac:dyDescent="0.3">
      <c r="A147" s="135">
        <v>1</v>
      </c>
      <c r="B147" s="135" t="s">
        <v>13</v>
      </c>
      <c r="C147" s="306" t="s">
        <v>328</v>
      </c>
      <c r="D147" s="135"/>
      <c r="E147" s="201">
        <v>46007</v>
      </c>
      <c r="F147" s="202" t="s">
        <v>329</v>
      </c>
      <c r="G147" s="204">
        <v>95675</v>
      </c>
      <c r="H147" s="138">
        <f>A147*G147</f>
        <v>95675</v>
      </c>
      <c r="I147" s="196" t="s">
        <v>306</v>
      </c>
    </row>
    <row r="148" spans="1:9" ht="16.5" customHeight="1" x14ac:dyDescent="0.3">
      <c r="A148" s="330" t="s">
        <v>330</v>
      </c>
      <c r="B148" s="331"/>
      <c r="C148" s="331"/>
      <c r="D148" s="331"/>
      <c r="E148" s="331"/>
      <c r="F148" s="331"/>
      <c r="G148" s="332"/>
      <c r="H148" s="32">
        <f>SUM(H117:H147)</f>
        <v>14826729</v>
      </c>
      <c r="I148" s="33"/>
    </row>
    <row r="149" spans="1:9" ht="16.5" customHeight="1" outlineLevel="1" x14ac:dyDescent="0.3">
      <c r="A149" s="64">
        <v>1</v>
      </c>
      <c r="B149" s="64" t="s">
        <v>13</v>
      </c>
      <c r="C149" s="286" t="s">
        <v>331</v>
      </c>
      <c r="D149" s="64"/>
      <c r="E149" s="70">
        <v>43313</v>
      </c>
      <c r="F149" s="17" t="s">
        <v>333</v>
      </c>
      <c r="G149" s="66">
        <v>204060</v>
      </c>
      <c r="H149" s="66">
        <f>A149*G149</f>
        <v>204060</v>
      </c>
      <c r="I149" s="20" t="s">
        <v>28</v>
      </c>
    </row>
    <row r="150" spans="1:9" ht="16.5" customHeight="1" outlineLevel="1" x14ac:dyDescent="0.3">
      <c r="A150" s="64"/>
      <c r="B150" s="64" t="s">
        <v>13</v>
      </c>
      <c r="C150" s="286" t="s">
        <v>334</v>
      </c>
      <c r="D150" s="64"/>
      <c r="E150" s="64"/>
      <c r="F150" s="64"/>
      <c r="G150" s="66"/>
      <c r="H150" s="66">
        <f>A150*G150</f>
        <v>0</v>
      </c>
      <c r="I150" s="20" t="s">
        <v>28</v>
      </c>
    </row>
    <row r="151" spans="1:9" ht="16.5" customHeight="1" outlineLevel="1" x14ac:dyDescent="0.3">
      <c r="A151" s="74">
        <v>1</v>
      </c>
      <c r="B151" s="64" t="s">
        <v>13</v>
      </c>
      <c r="C151" s="309" t="s">
        <v>335</v>
      </c>
      <c r="D151" s="64"/>
      <c r="E151" s="64"/>
      <c r="F151" s="75" t="s">
        <v>336</v>
      </c>
      <c r="G151" s="66">
        <v>139000</v>
      </c>
      <c r="H151" s="66">
        <f>A151*G151</f>
        <v>139000</v>
      </c>
      <c r="I151" s="20" t="s">
        <v>28</v>
      </c>
    </row>
    <row r="152" spans="1:9" ht="16.5" customHeight="1" outlineLevel="1" x14ac:dyDescent="0.3">
      <c r="A152" s="74">
        <v>2</v>
      </c>
      <c r="B152" s="64" t="s">
        <v>13</v>
      </c>
      <c r="C152" s="310" t="s">
        <v>337</v>
      </c>
      <c r="D152" s="64"/>
      <c r="E152" s="64"/>
      <c r="F152" s="75" t="s">
        <v>338</v>
      </c>
      <c r="G152" s="66">
        <v>69000</v>
      </c>
      <c r="H152" s="66">
        <f>A152*G152</f>
        <v>138000</v>
      </c>
      <c r="I152" s="20" t="s">
        <v>28</v>
      </c>
    </row>
    <row r="153" spans="1:9" ht="16.5" customHeight="1" outlineLevel="1" x14ac:dyDescent="0.3">
      <c r="A153" s="76">
        <v>1</v>
      </c>
      <c r="B153" s="64" t="s">
        <v>13</v>
      </c>
      <c r="C153" s="310" t="s">
        <v>339</v>
      </c>
      <c r="D153" s="64"/>
      <c r="E153" s="64"/>
      <c r="F153" s="75" t="s">
        <v>340</v>
      </c>
      <c r="G153" s="73">
        <v>80000</v>
      </c>
      <c r="H153" s="66">
        <f>A153*G153</f>
        <v>80000</v>
      </c>
      <c r="I153" s="20" t="s">
        <v>28</v>
      </c>
    </row>
    <row r="154" spans="1:9" ht="16.5" customHeight="1" outlineLevel="1" x14ac:dyDescent="0.3">
      <c r="A154" s="76">
        <v>1</v>
      </c>
      <c r="B154" s="64" t="s">
        <v>13</v>
      </c>
      <c r="C154" s="309" t="s">
        <v>341</v>
      </c>
      <c r="D154" s="64"/>
      <c r="E154" s="64"/>
      <c r="F154" s="75" t="s">
        <v>342</v>
      </c>
      <c r="G154" s="73">
        <v>210000</v>
      </c>
      <c r="H154" s="66">
        <f>A154*G154</f>
        <v>210000</v>
      </c>
      <c r="I154" s="20" t="s">
        <v>28</v>
      </c>
    </row>
    <row r="155" spans="1:9" ht="16.5" customHeight="1" outlineLevel="1" x14ac:dyDescent="0.3">
      <c r="A155" s="76">
        <v>1</v>
      </c>
      <c r="B155" s="64" t="s">
        <v>13</v>
      </c>
      <c r="C155" s="309" t="s">
        <v>343</v>
      </c>
      <c r="D155" s="64"/>
      <c r="E155" s="17"/>
      <c r="F155" s="75" t="s">
        <v>344</v>
      </c>
      <c r="G155" s="73">
        <v>80000</v>
      </c>
      <c r="H155" s="66">
        <f>A155*G155</f>
        <v>80000</v>
      </c>
      <c r="I155" s="20" t="s">
        <v>28</v>
      </c>
    </row>
    <row r="156" spans="1:9" ht="16.5" customHeight="1" outlineLevel="1" x14ac:dyDescent="0.3">
      <c r="A156" s="76">
        <v>2</v>
      </c>
      <c r="B156" s="64" t="s">
        <v>13</v>
      </c>
      <c r="C156" s="309" t="s">
        <v>345</v>
      </c>
      <c r="D156" s="64"/>
      <c r="E156" s="17"/>
      <c r="F156" s="75" t="s">
        <v>346</v>
      </c>
      <c r="G156" s="73">
        <v>73000</v>
      </c>
      <c r="H156" s="66">
        <f>A156*G156</f>
        <v>146000</v>
      </c>
      <c r="I156" s="20" t="s">
        <v>28</v>
      </c>
    </row>
    <row r="157" spans="1:9" ht="16.5" customHeight="1" outlineLevel="1" x14ac:dyDescent="0.3">
      <c r="A157" s="76">
        <v>2</v>
      </c>
      <c r="B157" s="64" t="s">
        <v>13</v>
      </c>
      <c r="C157" s="309" t="s">
        <v>347</v>
      </c>
      <c r="D157" s="64"/>
      <c r="E157" s="64"/>
      <c r="F157" s="75" t="s">
        <v>348</v>
      </c>
      <c r="G157" s="73">
        <v>120000</v>
      </c>
      <c r="H157" s="66">
        <f>A157*G157</f>
        <v>240000</v>
      </c>
      <c r="I157" s="20" t="s">
        <v>28</v>
      </c>
    </row>
    <row r="158" spans="1:9" ht="16.5" customHeight="1" outlineLevel="1" x14ac:dyDescent="0.3">
      <c r="A158" s="76">
        <v>2</v>
      </c>
      <c r="B158" s="64" t="s">
        <v>13</v>
      </c>
      <c r="C158" s="309" t="s">
        <v>349</v>
      </c>
      <c r="D158" s="64"/>
      <c r="E158" s="64"/>
      <c r="F158" s="75" t="s">
        <v>350</v>
      </c>
      <c r="G158" s="73">
        <v>109745</v>
      </c>
      <c r="H158" s="66">
        <f>A158*G158</f>
        <v>219490</v>
      </c>
      <c r="I158" s="20" t="s">
        <v>28</v>
      </c>
    </row>
    <row r="159" spans="1:9" ht="16.5" customHeight="1" outlineLevel="1" x14ac:dyDescent="0.3">
      <c r="A159" s="76">
        <v>2</v>
      </c>
      <c r="B159" s="64" t="s">
        <v>13</v>
      </c>
      <c r="C159" s="310" t="s">
        <v>351</v>
      </c>
      <c r="D159" s="64"/>
      <c r="E159" s="17"/>
      <c r="F159" s="75" t="s">
        <v>352</v>
      </c>
      <c r="G159" s="73">
        <v>70000</v>
      </c>
      <c r="H159" s="66">
        <f>A159*G159</f>
        <v>140000</v>
      </c>
      <c r="I159" s="20" t="s">
        <v>28</v>
      </c>
    </row>
    <row r="160" spans="1:9" ht="16.5" customHeight="1" thickBot="1" x14ac:dyDescent="0.35">
      <c r="A160" s="333" t="s">
        <v>353</v>
      </c>
      <c r="B160" s="334"/>
      <c r="C160" s="334"/>
      <c r="D160" s="334"/>
      <c r="E160" s="334"/>
      <c r="F160" s="335"/>
      <c r="G160" s="77"/>
      <c r="H160" s="78">
        <f>SUM(H149:H159)</f>
        <v>1596550</v>
      </c>
      <c r="I160" s="79"/>
    </row>
    <row r="161" spans="1:9" s="120" customFormat="1" ht="16.5" customHeight="1" outlineLevel="1" thickBot="1" x14ac:dyDescent="0.35">
      <c r="A161" s="205">
        <v>1</v>
      </c>
      <c r="B161" s="206" t="s">
        <v>96</v>
      </c>
      <c r="C161" s="311" t="s">
        <v>354</v>
      </c>
      <c r="D161" s="206"/>
      <c r="E161" s="207" t="s">
        <v>172</v>
      </c>
      <c r="F161" s="208" t="s">
        <v>355</v>
      </c>
      <c r="G161" s="209">
        <v>68650</v>
      </c>
      <c r="H161" s="210">
        <v>68650</v>
      </c>
      <c r="I161" s="211" t="s">
        <v>356</v>
      </c>
    </row>
    <row r="162" spans="1:9" ht="16.5" customHeight="1" x14ac:dyDescent="0.3">
      <c r="A162" s="336" t="s">
        <v>357</v>
      </c>
      <c r="B162" s="337"/>
      <c r="C162" s="337"/>
      <c r="D162" s="337"/>
      <c r="E162" s="337"/>
      <c r="F162" s="338"/>
      <c r="G162" s="84"/>
      <c r="H162" s="85">
        <f>+H161</f>
        <v>68650</v>
      </c>
      <c r="I162" s="86"/>
    </row>
    <row r="163" spans="1:9" ht="16.5" customHeight="1" outlineLevel="1" x14ac:dyDescent="0.3">
      <c r="A163" s="64">
        <v>1</v>
      </c>
      <c r="B163" s="64" t="s">
        <v>13</v>
      </c>
      <c r="C163" s="286" t="s">
        <v>358</v>
      </c>
      <c r="D163" s="64"/>
      <c r="E163" s="31" t="s">
        <v>172</v>
      </c>
      <c r="F163" s="64" t="s">
        <v>359</v>
      </c>
      <c r="G163" s="87">
        <v>0</v>
      </c>
      <c r="H163" s="66">
        <f>A163*G163</f>
        <v>0</v>
      </c>
      <c r="I163" s="68" t="s">
        <v>28</v>
      </c>
    </row>
    <row r="164" spans="1:9" s="120" customFormat="1" ht="16.5" customHeight="1" outlineLevel="1" x14ac:dyDescent="0.3">
      <c r="A164" s="212">
        <v>1</v>
      </c>
      <c r="B164" s="213" t="s">
        <v>360</v>
      </c>
      <c r="C164" s="312" t="s">
        <v>361</v>
      </c>
      <c r="D164" s="213"/>
      <c r="E164" s="214">
        <v>39845</v>
      </c>
      <c r="F164" s="215"/>
      <c r="G164" s="216">
        <v>298500</v>
      </c>
      <c r="H164" s="217">
        <f>A164*G164</f>
        <v>298500</v>
      </c>
      <c r="I164" s="218" t="s">
        <v>28</v>
      </c>
    </row>
    <row r="165" spans="1:9" s="120" customFormat="1" ht="16.5" customHeight="1" outlineLevel="1" x14ac:dyDescent="0.3">
      <c r="A165" s="174">
        <v>1</v>
      </c>
      <c r="B165" s="174" t="s">
        <v>13</v>
      </c>
      <c r="C165" s="303" t="s">
        <v>362</v>
      </c>
      <c r="D165" s="174"/>
      <c r="E165" s="175">
        <v>40483</v>
      </c>
      <c r="F165" s="105" t="s">
        <v>363</v>
      </c>
      <c r="G165" s="176">
        <v>139900</v>
      </c>
      <c r="H165" s="219">
        <f>A165*G165</f>
        <v>139900</v>
      </c>
      <c r="I165" s="220" t="s">
        <v>41</v>
      </c>
    </row>
    <row r="166" spans="1:9" s="120" customFormat="1" ht="16.5" customHeight="1" outlineLevel="1" x14ac:dyDescent="0.3">
      <c r="A166" s="174">
        <v>1</v>
      </c>
      <c r="B166" s="174" t="s">
        <v>13</v>
      </c>
      <c r="C166" s="303" t="s">
        <v>364</v>
      </c>
      <c r="D166" s="174"/>
      <c r="E166" s="175">
        <v>40483</v>
      </c>
      <c r="F166" s="104" t="s">
        <v>365</v>
      </c>
      <c r="G166" s="176">
        <v>139900</v>
      </c>
      <c r="H166" s="219">
        <f>A166*G166</f>
        <v>139900</v>
      </c>
      <c r="I166" s="220" t="s">
        <v>366</v>
      </c>
    </row>
    <row r="167" spans="1:9" s="120" customFormat="1" ht="16.5" customHeight="1" outlineLevel="1" x14ac:dyDescent="0.3">
      <c r="A167" s="174">
        <v>1</v>
      </c>
      <c r="B167" s="174" t="s">
        <v>13</v>
      </c>
      <c r="C167" s="303" t="s">
        <v>367</v>
      </c>
      <c r="D167" s="174"/>
      <c r="E167" s="175">
        <v>37742</v>
      </c>
      <c r="F167" s="104" t="s">
        <v>368</v>
      </c>
      <c r="G167" s="176">
        <v>68000</v>
      </c>
      <c r="H167" s="219">
        <f>A167*G167</f>
        <v>68000</v>
      </c>
      <c r="I167" s="220" t="s">
        <v>369</v>
      </c>
    </row>
    <row r="168" spans="1:9" s="120" customFormat="1" ht="16.5" customHeight="1" outlineLevel="1" x14ac:dyDescent="0.3">
      <c r="A168" s="174">
        <v>1</v>
      </c>
      <c r="B168" s="174" t="s">
        <v>13</v>
      </c>
      <c r="C168" s="303" t="s">
        <v>370</v>
      </c>
      <c r="D168" s="174"/>
      <c r="E168" s="221">
        <v>42961</v>
      </c>
      <c r="F168" s="104" t="s">
        <v>371</v>
      </c>
      <c r="G168" s="176">
        <v>1396200</v>
      </c>
      <c r="H168" s="219">
        <f>A168*G168</f>
        <v>1396200</v>
      </c>
      <c r="I168" s="220" t="s">
        <v>46</v>
      </c>
    </row>
    <row r="169" spans="1:9" s="120" customFormat="1" ht="15" customHeight="1" outlineLevel="1" x14ac:dyDescent="0.3">
      <c r="A169" s="174">
        <v>1</v>
      </c>
      <c r="B169" s="174" t="s">
        <v>13</v>
      </c>
      <c r="C169" s="303" t="s">
        <v>372</v>
      </c>
      <c r="D169" s="174"/>
      <c r="E169" s="222" t="s">
        <v>74</v>
      </c>
      <c r="F169" s="105" t="s">
        <v>373</v>
      </c>
      <c r="G169" s="176">
        <v>1619000</v>
      </c>
      <c r="H169" s="219">
        <f>A169*G169</f>
        <v>1619000</v>
      </c>
      <c r="I169" s="223" t="s">
        <v>67</v>
      </c>
    </row>
    <row r="170" spans="1:9" s="120" customFormat="1" ht="12.75" customHeight="1" outlineLevel="1" x14ac:dyDescent="0.3">
      <c r="A170" s="109">
        <v>1</v>
      </c>
      <c r="B170" s="109" t="s">
        <v>13</v>
      </c>
      <c r="C170" s="300" t="s">
        <v>374</v>
      </c>
      <c r="D170" s="109"/>
      <c r="E170" s="122">
        <v>45066</v>
      </c>
      <c r="F170" s="105" t="s">
        <v>375</v>
      </c>
      <c r="G170" s="124">
        <v>2244601.0099999998</v>
      </c>
      <c r="H170" s="219">
        <f>A170*G170</f>
        <v>2244601.0099999998</v>
      </c>
      <c r="I170" s="223" t="s">
        <v>28</v>
      </c>
    </row>
    <row r="171" spans="1:9" s="120" customFormat="1" ht="12.75" customHeight="1" outlineLevel="1" x14ac:dyDescent="0.3">
      <c r="A171" s="109">
        <v>1</v>
      </c>
      <c r="B171" s="109" t="s">
        <v>13</v>
      </c>
      <c r="C171" s="300" t="s">
        <v>376</v>
      </c>
      <c r="D171" s="109"/>
      <c r="E171" s="122">
        <v>45506</v>
      </c>
      <c r="F171" s="105" t="s">
        <v>377</v>
      </c>
      <c r="G171" s="124">
        <v>2429470</v>
      </c>
      <c r="H171" s="219">
        <f>A171*G171</f>
        <v>2429470</v>
      </c>
      <c r="I171" s="223" t="s">
        <v>28</v>
      </c>
    </row>
    <row r="172" spans="1:9" ht="12.75" customHeight="1" outlineLevel="1" x14ac:dyDescent="0.3">
      <c r="A172" s="17">
        <v>1</v>
      </c>
      <c r="B172" s="17" t="s">
        <v>13</v>
      </c>
      <c r="C172" s="287" t="s">
        <v>378</v>
      </c>
      <c r="D172" s="17"/>
      <c r="E172" s="24">
        <v>45962</v>
      </c>
      <c r="F172" s="25" t="s">
        <v>379</v>
      </c>
      <c r="G172" s="19">
        <v>2095000</v>
      </c>
      <c r="H172" s="19">
        <f>A172*G172</f>
        <v>2095000</v>
      </c>
      <c r="I172" s="20" t="s">
        <v>163</v>
      </c>
    </row>
    <row r="173" spans="1:9" ht="16.5" customHeight="1" x14ac:dyDescent="0.3">
      <c r="A173" s="330" t="s">
        <v>380</v>
      </c>
      <c r="B173" s="331"/>
      <c r="C173" s="331"/>
      <c r="D173" s="331"/>
      <c r="E173" s="331"/>
      <c r="F173" s="332"/>
      <c r="G173" s="35"/>
      <c r="H173" s="32">
        <f>SUM(H163:H171)</f>
        <v>8335571.0099999998</v>
      </c>
      <c r="I173" s="36"/>
    </row>
    <row r="174" spans="1:9" s="120" customFormat="1" ht="16.5" customHeight="1" outlineLevel="1" x14ac:dyDescent="0.3">
      <c r="A174" s="174">
        <v>1</v>
      </c>
      <c r="B174" s="174" t="s">
        <v>13</v>
      </c>
      <c r="C174" s="303" t="s">
        <v>381</v>
      </c>
      <c r="D174" s="174"/>
      <c r="E174" s="175">
        <v>39052</v>
      </c>
      <c r="F174" s="104" t="s">
        <v>382</v>
      </c>
      <c r="G174" s="176">
        <v>425000</v>
      </c>
      <c r="H174" s="176">
        <f>A174*G174</f>
        <v>425000</v>
      </c>
      <c r="I174" s="220" t="s">
        <v>46</v>
      </c>
    </row>
    <row r="175" spans="1:9" s="120" customFormat="1" ht="16.5" customHeight="1" outlineLevel="1" x14ac:dyDescent="0.3">
      <c r="A175" s="174">
        <v>1</v>
      </c>
      <c r="B175" s="174" t="s">
        <v>13</v>
      </c>
      <c r="C175" s="303" t="s">
        <v>383</v>
      </c>
      <c r="D175" s="174"/>
      <c r="E175" s="175">
        <v>43070</v>
      </c>
      <c r="F175" s="104" t="s">
        <v>384</v>
      </c>
      <c r="G175" s="176">
        <v>150234.23999999999</v>
      </c>
      <c r="H175" s="176">
        <f>A175*G175</f>
        <v>150234.23999999999</v>
      </c>
      <c r="I175" s="220" t="s">
        <v>46</v>
      </c>
    </row>
    <row r="176" spans="1:9" ht="16.5" customHeight="1" thickBot="1" x14ac:dyDescent="0.35">
      <c r="A176" s="333" t="s">
        <v>385</v>
      </c>
      <c r="B176" s="334"/>
      <c r="C176" s="334"/>
      <c r="D176" s="334"/>
      <c r="E176" s="334"/>
      <c r="F176" s="335"/>
      <c r="G176" s="77"/>
      <c r="H176" s="78">
        <f>SUM(H174:H175)</f>
        <v>575234.24</v>
      </c>
      <c r="I176" s="79"/>
    </row>
    <row r="177" spans="1:9" s="120" customFormat="1" ht="16.5" customHeight="1" outlineLevel="1" thickBot="1" x14ac:dyDescent="0.35">
      <c r="A177" s="224">
        <v>1</v>
      </c>
      <c r="B177" s="225" t="s">
        <v>13</v>
      </c>
      <c r="C177" s="313" t="s">
        <v>386</v>
      </c>
      <c r="D177" s="226"/>
      <c r="E177" s="227">
        <v>44384</v>
      </c>
      <c r="F177" s="104" t="s">
        <v>387</v>
      </c>
      <c r="G177" s="176">
        <v>1675000</v>
      </c>
      <c r="H177" s="217">
        <f>A177*G177</f>
        <v>1675000</v>
      </c>
      <c r="I177" s="228" t="s">
        <v>46</v>
      </c>
    </row>
    <row r="178" spans="1:9" s="120" customFormat="1" ht="16.5" customHeight="1" outlineLevel="1" thickBot="1" x14ac:dyDescent="0.35">
      <c r="A178" s="224">
        <v>1</v>
      </c>
      <c r="B178" s="225" t="s">
        <v>13</v>
      </c>
      <c r="C178" s="313" t="s">
        <v>388</v>
      </c>
      <c r="D178" s="226"/>
      <c r="E178" s="227"/>
      <c r="F178" s="229" t="s">
        <v>389</v>
      </c>
      <c r="G178" s="176"/>
      <c r="H178" s="217">
        <f>A178*G178</f>
        <v>0</v>
      </c>
      <c r="I178" s="228" t="s">
        <v>46</v>
      </c>
    </row>
    <row r="179" spans="1:9" s="120" customFormat="1" ht="16.5" customHeight="1" outlineLevel="1" thickBot="1" x14ac:dyDescent="0.35">
      <c r="A179" s="224">
        <v>1</v>
      </c>
      <c r="B179" s="225" t="s">
        <v>13</v>
      </c>
      <c r="C179" s="314" t="s">
        <v>390</v>
      </c>
      <c r="D179" s="226"/>
      <c r="E179" s="230" t="s">
        <v>74</v>
      </c>
      <c r="F179" s="104" t="s">
        <v>391</v>
      </c>
      <c r="G179" s="176">
        <v>4140000</v>
      </c>
      <c r="H179" s="217">
        <f>A179*G179</f>
        <v>4140000</v>
      </c>
      <c r="I179" s="228" t="s">
        <v>46</v>
      </c>
    </row>
    <row r="180" spans="1:9" s="120" customFormat="1" ht="16.5" customHeight="1" outlineLevel="1" thickBot="1" x14ac:dyDescent="0.35">
      <c r="A180" s="224">
        <v>1</v>
      </c>
      <c r="B180" s="225" t="s">
        <v>13</v>
      </c>
      <c r="C180" s="314" t="s">
        <v>392</v>
      </c>
      <c r="D180" s="226"/>
      <c r="E180" s="227">
        <v>44643</v>
      </c>
      <c r="F180" s="104" t="s">
        <v>393</v>
      </c>
      <c r="G180" s="176">
        <v>7199000</v>
      </c>
      <c r="H180" s="217">
        <f>A180*G180</f>
        <v>7199000</v>
      </c>
      <c r="I180" s="228" t="s">
        <v>46</v>
      </c>
    </row>
    <row r="181" spans="1:9" ht="16.5" customHeight="1" thickBot="1" x14ac:dyDescent="0.35">
      <c r="A181" s="323" t="s">
        <v>394</v>
      </c>
      <c r="B181" s="324"/>
      <c r="C181" s="324"/>
      <c r="D181" s="324"/>
      <c r="E181" s="324"/>
      <c r="F181" s="325"/>
      <c r="G181" s="88"/>
      <c r="H181" s="89">
        <f>SUM(H177:H180)</f>
        <v>13014000</v>
      </c>
      <c r="I181" s="90"/>
    </row>
    <row r="182" spans="1:9" s="134" customFormat="1" ht="16.5" customHeight="1" outlineLevel="1" x14ac:dyDescent="0.3">
      <c r="A182" s="192">
        <v>1</v>
      </c>
      <c r="B182" s="193" t="s">
        <v>13</v>
      </c>
      <c r="C182" s="315" t="s">
        <v>833</v>
      </c>
      <c r="D182" s="193"/>
      <c r="E182" s="193">
        <v>2011</v>
      </c>
      <c r="F182" s="231" t="s">
        <v>395</v>
      </c>
      <c r="G182" s="232"/>
      <c r="H182" s="233">
        <f>A182*G182</f>
        <v>0</v>
      </c>
      <c r="I182" s="196" t="s">
        <v>396</v>
      </c>
    </row>
    <row r="183" spans="1:9" s="134" customFormat="1" ht="16.5" customHeight="1" outlineLevel="1" x14ac:dyDescent="0.3">
      <c r="A183" s="135">
        <v>1</v>
      </c>
      <c r="B183" s="135" t="s">
        <v>13</v>
      </c>
      <c r="C183" s="294" t="s">
        <v>255</v>
      </c>
      <c r="D183" s="193"/>
      <c r="E183" s="180" t="s">
        <v>257</v>
      </c>
      <c r="F183" s="152" t="s">
        <v>397</v>
      </c>
      <c r="G183" s="138">
        <v>75000</v>
      </c>
      <c r="H183" s="233">
        <f>A183*G183</f>
        <v>75000</v>
      </c>
      <c r="I183" s="182" t="s">
        <v>88</v>
      </c>
    </row>
    <row r="184" spans="1:9" s="134" customFormat="1" ht="16.5" customHeight="1" outlineLevel="1" x14ac:dyDescent="0.3">
      <c r="A184" s="135">
        <v>1</v>
      </c>
      <c r="B184" s="135" t="s">
        <v>13</v>
      </c>
      <c r="C184" s="294" t="s">
        <v>834</v>
      </c>
      <c r="D184" s="193"/>
      <c r="E184" s="180" t="s">
        <v>398</v>
      </c>
      <c r="F184" s="152" t="s">
        <v>399</v>
      </c>
      <c r="G184" s="138">
        <v>187500</v>
      </c>
      <c r="H184" s="233">
        <f>A184*G184</f>
        <v>187500</v>
      </c>
      <c r="I184" s="182" t="s">
        <v>88</v>
      </c>
    </row>
    <row r="185" spans="1:9" s="134" customFormat="1" ht="16.5" customHeight="1" outlineLevel="1" x14ac:dyDescent="0.3">
      <c r="A185" s="150">
        <v>1</v>
      </c>
      <c r="B185" s="150" t="s">
        <v>13</v>
      </c>
      <c r="C185" s="296" t="s">
        <v>400</v>
      </c>
      <c r="D185" s="193"/>
      <c r="E185" s="234">
        <v>45525</v>
      </c>
      <c r="F185" s="235" t="s">
        <v>401</v>
      </c>
      <c r="G185" s="236">
        <v>152456</v>
      </c>
      <c r="H185" s="233">
        <f>A185*G185</f>
        <v>152456</v>
      </c>
      <c r="I185" s="237" t="s">
        <v>21</v>
      </c>
    </row>
    <row r="186" spans="1:9" s="134" customFormat="1" ht="16.5" customHeight="1" outlineLevel="1" x14ac:dyDescent="0.3">
      <c r="A186" s="150">
        <v>1</v>
      </c>
      <c r="B186" s="150" t="s">
        <v>13</v>
      </c>
      <c r="C186" s="296" t="s">
        <v>402</v>
      </c>
      <c r="D186" s="193"/>
      <c r="E186" s="234">
        <v>45525</v>
      </c>
      <c r="F186" s="235" t="s">
        <v>403</v>
      </c>
      <c r="G186" s="236">
        <v>82800</v>
      </c>
      <c r="H186" s="233">
        <f>A186*G186</f>
        <v>82800</v>
      </c>
      <c r="I186" s="237" t="s">
        <v>21</v>
      </c>
    </row>
    <row r="187" spans="1:9" s="134" customFormat="1" ht="16.5" customHeight="1" outlineLevel="1" x14ac:dyDescent="0.3">
      <c r="A187" s="135">
        <v>1</v>
      </c>
      <c r="B187" s="135" t="s">
        <v>13</v>
      </c>
      <c r="C187" s="294" t="s">
        <v>255</v>
      </c>
      <c r="D187" s="193"/>
      <c r="E187" s="180" t="s">
        <v>257</v>
      </c>
      <c r="F187" s="152" t="s">
        <v>397</v>
      </c>
      <c r="G187" s="236">
        <v>75000</v>
      </c>
      <c r="H187" s="233">
        <f>A187*G187</f>
        <v>75000</v>
      </c>
      <c r="I187" s="182" t="s">
        <v>88</v>
      </c>
    </row>
    <row r="188" spans="1:9" s="134" customFormat="1" ht="16.5" customHeight="1" outlineLevel="1" x14ac:dyDescent="0.3">
      <c r="A188" s="135">
        <v>1</v>
      </c>
      <c r="B188" s="135" t="s">
        <v>13</v>
      </c>
      <c r="C188" s="294" t="s">
        <v>404</v>
      </c>
      <c r="D188" s="193"/>
      <c r="E188" s="180" t="s">
        <v>398</v>
      </c>
      <c r="F188" s="152" t="s">
        <v>399</v>
      </c>
      <c r="G188" s="142">
        <v>187500</v>
      </c>
      <c r="H188" s="233">
        <f>A188*G188</f>
        <v>187500</v>
      </c>
      <c r="I188" s="182" t="s">
        <v>88</v>
      </c>
    </row>
    <row r="189" spans="1:9" s="134" customFormat="1" ht="12.75" customHeight="1" outlineLevel="1" x14ac:dyDescent="0.3">
      <c r="A189" s="150">
        <v>1</v>
      </c>
      <c r="B189" s="150" t="s">
        <v>13</v>
      </c>
      <c r="C189" s="143" t="s">
        <v>405</v>
      </c>
      <c r="D189" s="193"/>
      <c r="E189" s="238">
        <v>44256</v>
      </c>
      <c r="F189" s="235" t="s">
        <v>406</v>
      </c>
      <c r="G189" s="239">
        <v>202450</v>
      </c>
      <c r="H189" s="233">
        <f>A189*G189</f>
        <v>202450</v>
      </c>
      <c r="I189" s="237" t="s">
        <v>28</v>
      </c>
    </row>
    <row r="190" spans="1:9" s="134" customFormat="1" ht="12.75" customHeight="1" outlineLevel="1" x14ac:dyDescent="0.3">
      <c r="A190" s="184">
        <v>1</v>
      </c>
      <c r="B190" s="184" t="s">
        <v>13</v>
      </c>
      <c r="C190" s="316" t="s">
        <v>407</v>
      </c>
      <c r="D190" s="193"/>
      <c r="E190" s="188" t="s">
        <v>71</v>
      </c>
      <c r="F190" s="240" t="s">
        <v>408</v>
      </c>
      <c r="G190" s="189">
        <v>126000</v>
      </c>
      <c r="H190" s="233">
        <f>A190*G190</f>
        <v>126000</v>
      </c>
      <c r="I190" s="237" t="s">
        <v>67</v>
      </c>
    </row>
    <row r="191" spans="1:9" s="134" customFormat="1" ht="16.5" customHeight="1" outlineLevel="1" x14ac:dyDescent="0.3">
      <c r="A191" s="184">
        <v>1</v>
      </c>
      <c r="B191" s="184" t="s">
        <v>13</v>
      </c>
      <c r="C191" s="305" t="s">
        <v>409</v>
      </c>
      <c r="D191" s="193"/>
      <c r="E191" s="201">
        <v>46013</v>
      </c>
      <c r="F191" s="202" t="s">
        <v>410</v>
      </c>
      <c r="G191" s="203">
        <v>329000</v>
      </c>
      <c r="H191" s="233">
        <f>A191*G191</f>
        <v>329000</v>
      </c>
      <c r="I191" s="241" t="s">
        <v>396</v>
      </c>
    </row>
    <row r="192" spans="1:9" s="134" customFormat="1" ht="16.5" customHeight="1" outlineLevel="1" x14ac:dyDescent="0.3">
      <c r="A192" s="135">
        <v>1</v>
      </c>
      <c r="B192" s="135" t="s">
        <v>13</v>
      </c>
      <c r="C192" s="306" t="s">
        <v>411</v>
      </c>
      <c r="D192" s="193"/>
      <c r="E192" s="201">
        <v>46013</v>
      </c>
      <c r="F192" s="202" t="s">
        <v>412</v>
      </c>
      <c r="G192" s="203">
        <v>50000</v>
      </c>
      <c r="H192" s="233">
        <f>A192*G192</f>
        <v>50000</v>
      </c>
      <c r="I192" s="241" t="s">
        <v>250</v>
      </c>
    </row>
    <row r="193" spans="1:9" s="134" customFormat="1" ht="16.5" customHeight="1" outlineLevel="1" thickBot="1" x14ac:dyDescent="0.35">
      <c r="A193" s="135">
        <v>1</v>
      </c>
      <c r="B193" s="135" t="s">
        <v>13</v>
      </c>
      <c r="C193" s="306" t="s">
        <v>413</v>
      </c>
      <c r="D193" s="193"/>
      <c r="E193" s="201">
        <v>46013</v>
      </c>
      <c r="F193" s="202" t="s">
        <v>414</v>
      </c>
      <c r="G193" s="204">
        <v>120000</v>
      </c>
      <c r="H193" s="233">
        <f>A193*G193</f>
        <v>120000</v>
      </c>
      <c r="I193" s="190" t="s">
        <v>396</v>
      </c>
    </row>
    <row r="194" spans="1:9" ht="16.5" customHeight="1" thickBot="1" x14ac:dyDescent="0.35">
      <c r="A194" s="323" t="s">
        <v>415</v>
      </c>
      <c r="B194" s="324"/>
      <c r="C194" s="324"/>
      <c r="D194" s="324"/>
      <c r="E194" s="324"/>
      <c r="F194" s="325"/>
      <c r="G194" s="88"/>
      <c r="H194" s="89">
        <f>SUM(H182:H193)</f>
        <v>1587706</v>
      </c>
      <c r="I194" s="90"/>
    </row>
    <row r="195" spans="1:9" ht="16.5" customHeight="1" outlineLevel="1" x14ac:dyDescent="0.3">
      <c r="A195" s="80">
        <v>1</v>
      </c>
      <c r="B195" s="81" t="s">
        <v>96</v>
      </c>
      <c r="C195" s="317" t="s">
        <v>416</v>
      </c>
      <c r="D195" s="81"/>
      <c r="E195" s="91" t="s">
        <v>418</v>
      </c>
      <c r="F195" s="81" t="s">
        <v>419</v>
      </c>
      <c r="G195" s="92">
        <v>139900</v>
      </c>
      <c r="H195" s="82">
        <f>A195*G195</f>
        <v>139900</v>
      </c>
      <c r="I195" s="83" t="s">
        <v>420</v>
      </c>
    </row>
    <row r="196" spans="1:9" ht="16.5" customHeight="1" outlineLevel="1" x14ac:dyDescent="0.3">
      <c r="A196" s="93">
        <v>1</v>
      </c>
      <c r="B196" s="94" t="s">
        <v>96</v>
      </c>
      <c r="C196" s="318" t="s">
        <v>421</v>
      </c>
      <c r="D196" s="94"/>
      <c r="E196" s="95" t="s">
        <v>418</v>
      </c>
      <c r="F196" s="94" t="s">
        <v>422</v>
      </c>
      <c r="G196" s="96">
        <v>139900</v>
      </c>
      <c r="H196" s="82">
        <f>A196*G196</f>
        <v>139900</v>
      </c>
      <c r="I196" s="72" t="s">
        <v>420</v>
      </c>
    </row>
    <row r="197" spans="1:9" ht="16.5" customHeight="1" outlineLevel="1" x14ac:dyDescent="0.3">
      <c r="A197" s="93">
        <v>1</v>
      </c>
      <c r="B197" s="94" t="s">
        <v>96</v>
      </c>
      <c r="C197" s="318" t="s">
        <v>421</v>
      </c>
      <c r="D197" s="94"/>
      <c r="E197" s="97">
        <v>38108</v>
      </c>
      <c r="F197" s="94" t="s">
        <v>423</v>
      </c>
      <c r="G197" s="96">
        <v>65000</v>
      </c>
      <c r="H197" s="82">
        <f>A197*G197</f>
        <v>65000</v>
      </c>
      <c r="I197" s="72" t="s">
        <v>420</v>
      </c>
    </row>
    <row r="198" spans="1:9" ht="16.5" customHeight="1" outlineLevel="1" thickBot="1" x14ac:dyDescent="0.35">
      <c r="A198" s="93">
        <v>1</v>
      </c>
      <c r="B198" s="94" t="s">
        <v>96</v>
      </c>
      <c r="C198" s="319" t="s">
        <v>424</v>
      </c>
      <c r="D198" s="94"/>
      <c r="E198" s="97">
        <v>36130</v>
      </c>
      <c r="F198" s="94" t="s">
        <v>425</v>
      </c>
      <c r="G198" s="96">
        <v>67000</v>
      </c>
      <c r="H198" s="82">
        <f>A198*G198</f>
        <v>67000</v>
      </c>
      <c r="I198" s="72" t="s">
        <v>420</v>
      </c>
    </row>
    <row r="199" spans="1:9" ht="12.75" customHeight="1" thickBot="1" x14ac:dyDescent="0.35">
      <c r="A199" s="323" t="s">
        <v>426</v>
      </c>
      <c r="B199" s="324"/>
      <c r="C199" s="324"/>
      <c r="D199" s="324"/>
      <c r="E199" s="324"/>
      <c r="F199" s="325"/>
      <c r="G199" s="88"/>
      <c r="H199" s="89">
        <f>SUM(H195:H198)</f>
        <v>411800</v>
      </c>
      <c r="I199" s="90"/>
    </row>
    <row r="200" spans="1:9" ht="12.75" customHeight="1" thickBot="1" x14ac:dyDescent="0.35">
      <c r="A200" s="326" t="s">
        <v>427</v>
      </c>
      <c r="B200" s="324"/>
      <c r="C200" s="324"/>
      <c r="D200" s="324"/>
      <c r="E200" s="324"/>
      <c r="F200" s="324"/>
      <c r="G200" s="325"/>
      <c r="H200" s="98">
        <f>H40+H49+H111+H115+H116+H148+H160+H162+H173+H176+H181+H194+H199</f>
        <v>51543087.210000001</v>
      </c>
      <c r="I200" s="99"/>
    </row>
    <row r="201" spans="1:9" ht="12.75" customHeight="1" x14ac:dyDescent="0.3">
      <c r="A201" s="100"/>
      <c r="B201" s="100"/>
      <c r="C201" s="101"/>
      <c r="D201" s="100"/>
      <c r="E201" s="100"/>
      <c r="F201" s="100"/>
      <c r="G201" s="58"/>
      <c r="H201" s="58"/>
      <c r="I201" s="102"/>
    </row>
    <row r="202" spans="1:9" ht="12.75" customHeight="1" x14ac:dyDescent="0.3">
      <c r="A202" s="100"/>
      <c r="B202" s="100"/>
      <c r="C202" s="101"/>
      <c r="D202" s="100"/>
      <c r="E202" s="100"/>
      <c r="F202" s="100"/>
      <c r="G202" s="58"/>
      <c r="H202" s="34"/>
      <c r="I202" s="102"/>
    </row>
    <row r="203" spans="1:9" ht="12.75" customHeight="1" x14ac:dyDescent="0.3">
      <c r="A203" s="100"/>
      <c r="B203" s="100"/>
      <c r="C203" s="101"/>
      <c r="D203" s="100"/>
      <c r="E203" s="100"/>
      <c r="F203" s="100"/>
      <c r="G203" s="58"/>
      <c r="H203" s="34"/>
      <c r="I203" s="102"/>
    </row>
    <row r="204" spans="1:9" ht="12.75" customHeight="1" x14ac:dyDescent="0.3">
      <c r="A204" s="320" t="s">
        <v>826</v>
      </c>
      <c r="B204" s="320"/>
      <c r="C204" s="101"/>
      <c r="D204" s="100"/>
      <c r="E204" s="100"/>
      <c r="F204" s="100"/>
      <c r="G204" s="58"/>
      <c r="H204" s="58"/>
      <c r="I204" s="102"/>
    </row>
    <row r="205" spans="1:9" ht="12.75" customHeight="1" x14ac:dyDescent="0.3">
      <c r="A205" s="100"/>
      <c r="B205" s="100"/>
      <c r="C205" s="101"/>
      <c r="D205" s="100"/>
      <c r="E205" s="100"/>
      <c r="F205" s="100"/>
      <c r="G205" s="58"/>
      <c r="H205" s="58"/>
      <c r="I205" s="102"/>
    </row>
    <row r="206" spans="1:9" ht="12.75" customHeight="1" x14ac:dyDescent="0.3">
      <c r="A206" s="100"/>
      <c r="B206" s="100"/>
      <c r="C206" s="101"/>
      <c r="D206" s="100"/>
      <c r="E206" s="100"/>
      <c r="F206" s="100"/>
      <c r="G206" s="58"/>
      <c r="H206" s="58"/>
      <c r="I206" s="102"/>
    </row>
    <row r="207" spans="1:9" ht="12.75" customHeight="1" x14ac:dyDescent="0.3">
      <c r="A207" s="321" t="s">
        <v>827</v>
      </c>
      <c r="B207" s="321"/>
      <c r="C207" s="321"/>
      <c r="D207" s="100"/>
      <c r="E207" s="100"/>
      <c r="F207" s="100"/>
      <c r="G207" s="58"/>
      <c r="H207" s="58"/>
      <c r="I207" s="102"/>
    </row>
    <row r="208" spans="1:9" ht="12.75" customHeight="1" x14ac:dyDescent="0.3">
      <c r="A208" s="322" t="s">
        <v>828</v>
      </c>
      <c r="B208" s="322"/>
      <c r="C208" s="322"/>
      <c r="D208" s="100"/>
      <c r="E208" s="100"/>
      <c r="F208" s="100"/>
      <c r="G208" s="58"/>
      <c r="H208" s="58"/>
      <c r="I208" s="102"/>
    </row>
    <row r="209" spans="1:9" ht="12.75" customHeight="1" x14ac:dyDescent="0.3">
      <c r="A209" s="100"/>
      <c r="B209" s="100"/>
      <c r="C209" s="101"/>
      <c r="D209" s="100"/>
      <c r="E209" s="100"/>
      <c r="F209" s="100"/>
      <c r="G209" s="58"/>
      <c r="H209" s="58"/>
      <c r="I209" s="102"/>
    </row>
    <row r="210" spans="1:9" ht="12.75" customHeight="1" x14ac:dyDescent="0.3">
      <c r="A210" s="100"/>
      <c r="B210" s="100"/>
      <c r="C210" s="101"/>
      <c r="D210" s="100"/>
      <c r="E210" s="100"/>
      <c r="F210" s="100"/>
      <c r="G210" s="58"/>
      <c r="H210" s="58"/>
      <c r="I210" s="102"/>
    </row>
    <row r="211" spans="1:9" ht="12.75" customHeight="1" x14ac:dyDescent="0.3">
      <c r="A211" s="100"/>
      <c r="B211" s="100"/>
      <c r="C211" s="101"/>
      <c r="D211" s="100"/>
      <c r="E211" s="100"/>
      <c r="F211" s="100"/>
      <c r="G211" s="58"/>
      <c r="H211" s="58"/>
      <c r="I211" s="102"/>
    </row>
    <row r="212" spans="1:9" ht="12.75" customHeight="1" x14ac:dyDescent="0.3">
      <c r="A212" s="100"/>
      <c r="B212" s="100"/>
      <c r="C212" s="101"/>
      <c r="D212" s="100"/>
      <c r="E212" s="100"/>
      <c r="F212" s="100"/>
      <c r="G212" s="58"/>
      <c r="H212" s="58"/>
      <c r="I212" s="102"/>
    </row>
    <row r="213" spans="1:9" ht="12.75" customHeight="1" x14ac:dyDescent="0.3">
      <c r="A213" s="100"/>
      <c r="B213" s="100"/>
      <c r="C213" s="101"/>
      <c r="D213" s="100"/>
      <c r="E213" s="100"/>
      <c r="F213" s="100"/>
      <c r="G213" s="58"/>
      <c r="H213" s="58"/>
      <c r="I213" s="102"/>
    </row>
    <row r="214" spans="1:9" ht="12.75" customHeight="1" x14ac:dyDescent="0.3">
      <c r="A214" s="100"/>
      <c r="B214" s="100"/>
      <c r="C214" s="101"/>
      <c r="D214" s="100"/>
      <c r="E214" s="100"/>
      <c r="F214" s="100"/>
      <c r="G214" s="58"/>
      <c r="H214" s="58"/>
      <c r="I214" s="102"/>
    </row>
    <row r="215" spans="1:9" ht="12.75" customHeight="1" x14ac:dyDescent="0.3">
      <c r="A215" s="100"/>
      <c r="B215" s="100"/>
      <c r="C215" s="101"/>
      <c r="D215" s="100"/>
      <c r="E215" s="100"/>
      <c r="F215" s="100"/>
      <c r="G215" s="58"/>
      <c r="H215" s="58"/>
      <c r="I215" s="102"/>
    </row>
    <row r="216" spans="1:9" ht="12.75" customHeight="1" x14ac:dyDescent="0.3">
      <c r="A216" s="100"/>
      <c r="B216" s="100"/>
      <c r="C216" s="101"/>
      <c r="D216" s="100"/>
      <c r="E216" s="100"/>
      <c r="F216" s="100"/>
      <c r="G216" s="58"/>
      <c r="H216" s="58"/>
      <c r="I216" s="102"/>
    </row>
    <row r="217" spans="1:9" ht="12.75" customHeight="1" x14ac:dyDescent="0.3">
      <c r="A217" s="100"/>
      <c r="B217" s="100"/>
      <c r="C217" s="101"/>
      <c r="D217" s="100"/>
      <c r="E217" s="100"/>
      <c r="F217" s="100"/>
      <c r="G217" s="58"/>
      <c r="H217" s="58"/>
      <c r="I217" s="102"/>
    </row>
    <row r="218" spans="1:9" ht="12.75" customHeight="1" x14ac:dyDescent="0.3">
      <c r="A218" s="100"/>
      <c r="B218" s="100"/>
      <c r="C218" s="101"/>
      <c r="D218" s="100"/>
      <c r="E218" s="100"/>
      <c r="F218" s="100"/>
      <c r="G218" s="58"/>
      <c r="H218" s="58"/>
      <c r="I218" s="102"/>
    </row>
    <row r="219" spans="1:9" ht="12.75" customHeight="1" x14ac:dyDescent="0.3">
      <c r="A219" s="100"/>
      <c r="B219" s="100"/>
      <c r="C219" s="101"/>
      <c r="D219" s="100"/>
      <c r="E219" s="100"/>
      <c r="F219" s="100"/>
      <c r="G219" s="58"/>
      <c r="H219" s="58"/>
      <c r="I219" s="102"/>
    </row>
    <row r="220" spans="1:9" ht="12.75" customHeight="1" x14ac:dyDescent="0.3">
      <c r="A220" s="100"/>
      <c r="B220" s="100"/>
      <c r="C220" s="101"/>
      <c r="D220" s="100"/>
      <c r="E220" s="100"/>
      <c r="F220" s="100"/>
      <c r="G220" s="58"/>
      <c r="H220" s="58"/>
      <c r="I220" s="102"/>
    </row>
    <row r="221" spans="1:9" ht="12.75" customHeight="1" x14ac:dyDescent="0.3">
      <c r="A221" s="100"/>
      <c r="B221" s="100"/>
      <c r="C221" s="101"/>
      <c r="D221" s="100"/>
      <c r="E221" s="100"/>
      <c r="F221" s="100"/>
      <c r="G221" s="58"/>
      <c r="H221" s="58"/>
      <c r="I221" s="102"/>
    </row>
    <row r="222" spans="1:9" ht="12.75" customHeight="1" x14ac:dyDescent="0.3">
      <c r="A222" s="100"/>
      <c r="B222" s="100"/>
      <c r="C222" s="101"/>
      <c r="D222" s="100"/>
      <c r="E222" s="100"/>
      <c r="F222" s="100"/>
      <c r="G222" s="58"/>
      <c r="H222" s="58"/>
      <c r="I222" s="102"/>
    </row>
    <row r="223" spans="1:9" ht="12.75" customHeight="1" x14ac:dyDescent="0.3">
      <c r="A223" s="100"/>
      <c r="B223" s="100"/>
      <c r="C223" s="101"/>
      <c r="D223" s="100"/>
      <c r="E223" s="100"/>
      <c r="F223" s="100"/>
      <c r="G223" s="58"/>
      <c r="H223" s="58"/>
      <c r="I223" s="102"/>
    </row>
    <row r="224" spans="1:9" ht="12.75" customHeight="1" x14ac:dyDescent="0.3">
      <c r="A224" s="100"/>
      <c r="B224" s="100"/>
      <c r="C224" s="101"/>
      <c r="D224" s="100"/>
      <c r="E224" s="100"/>
      <c r="F224" s="100"/>
      <c r="G224" s="58"/>
      <c r="H224" s="58"/>
      <c r="I224" s="102"/>
    </row>
    <row r="225" spans="1:9" ht="12.75" customHeight="1" x14ac:dyDescent="0.3">
      <c r="A225" s="100"/>
      <c r="B225" s="100"/>
      <c r="C225" s="101"/>
      <c r="D225" s="100"/>
      <c r="E225" s="100"/>
      <c r="F225" s="100"/>
      <c r="G225" s="58"/>
      <c r="H225" s="58"/>
      <c r="I225" s="102"/>
    </row>
    <row r="226" spans="1:9" ht="12.75" customHeight="1" x14ac:dyDescent="0.3">
      <c r="A226" s="100"/>
      <c r="B226" s="100"/>
      <c r="C226" s="101"/>
      <c r="D226" s="100"/>
      <c r="E226" s="100"/>
      <c r="F226" s="100"/>
      <c r="G226" s="58"/>
      <c r="H226" s="58"/>
      <c r="I226" s="102"/>
    </row>
    <row r="227" spans="1:9" ht="12.75" customHeight="1" x14ac:dyDescent="0.3">
      <c r="A227" s="100"/>
      <c r="B227" s="100"/>
      <c r="C227" s="101"/>
      <c r="D227" s="100"/>
      <c r="E227" s="100"/>
      <c r="F227" s="100"/>
      <c r="G227" s="58"/>
      <c r="H227" s="58"/>
      <c r="I227" s="102"/>
    </row>
    <row r="228" spans="1:9" ht="12.75" customHeight="1" x14ac:dyDescent="0.3">
      <c r="A228" s="100"/>
      <c r="B228" s="100"/>
      <c r="C228" s="101"/>
      <c r="D228" s="100"/>
      <c r="E228" s="100"/>
      <c r="F228" s="100"/>
      <c r="G228" s="58"/>
      <c r="H228" s="58"/>
      <c r="I228" s="102"/>
    </row>
    <row r="229" spans="1:9" ht="12.75" customHeight="1" x14ac:dyDescent="0.3">
      <c r="A229" s="100"/>
      <c r="B229" s="100"/>
      <c r="C229" s="101"/>
      <c r="D229" s="100"/>
      <c r="E229" s="100"/>
      <c r="F229" s="100"/>
      <c r="G229" s="58"/>
      <c r="H229" s="58"/>
      <c r="I229" s="102"/>
    </row>
    <row r="230" spans="1:9" ht="12.75" customHeight="1" x14ac:dyDescent="0.3">
      <c r="A230" s="100"/>
      <c r="B230" s="100"/>
      <c r="C230" s="101"/>
      <c r="D230" s="100"/>
      <c r="E230" s="100"/>
      <c r="F230" s="100"/>
      <c r="G230" s="58"/>
      <c r="H230" s="58"/>
      <c r="I230" s="102"/>
    </row>
    <row r="231" spans="1:9" ht="12.75" customHeight="1" x14ac:dyDescent="0.3">
      <c r="A231" s="100"/>
      <c r="B231" s="100"/>
      <c r="C231" s="101"/>
      <c r="D231" s="100"/>
      <c r="E231" s="100"/>
      <c r="F231" s="100"/>
      <c r="G231" s="58"/>
      <c r="H231" s="58"/>
      <c r="I231" s="102"/>
    </row>
    <row r="232" spans="1:9" ht="12.75" customHeight="1" x14ac:dyDescent="0.3">
      <c r="A232" s="100"/>
      <c r="B232" s="100"/>
      <c r="C232" s="101"/>
      <c r="D232" s="100"/>
      <c r="E232" s="100"/>
      <c r="F232" s="100"/>
      <c r="G232" s="58"/>
      <c r="H232" s="58"/>
      <c r="I232" s="102"/>
    </row>
    <row r="233" spans="1:9" ht="12.75" customHeight="1" x14ac:dyDescent="0.3">
      <c r="A233" s="100"/>
      <c r="B233" s="100"/>
      <c r="C233" s="101"/>
      <c r="D233" s="100"/>
      <c r="E233" s="100"/>
      <c r="F233" s="100"/>
      <c r="G233" s="58"/>
      <c r="H233" s="58"/>
      <c r="I233" s="102"/>
    </row>
    <row r="234" spans="1:9" ht="12.75" customHeight="1" x14ac:dyDescent="0.3">
      <c r="A234" s="100"/>
      <c r="B234" s="100"/>
      <c r="C234" s="101"/>
      <c r="D234" s="100"/>
      <c r="E234" s="100"/>
      <c r="F234" s="100"/>
      <c r="G234" s="58"/>
      <c r="H234" s="58"/>
      <c r="I234" s="102"/>
    </row>
    <row r="235" spans="1:9" ht="12.75" customHeight="1" x14ac:dyDescent="0.3">
      <c r="A235" s="100"/>
      <c r="B235" s="100"/>
      <c r="C235" s="101"/>
      <c r="D235" s="100"/>
      <c r="E235" s="100"/>
      <c r="F235" s="100"/>
      <c r="G235" s="58"/>
      <c r="H235" s="58"/>
      <c r="I235" s="102"/>
    </row>
  </sheetData>
  <autoFilter ref="A11:I200" xr:uid="{00000000-0009-0000-0000-000001000000}"/>
  <mergeCells count="28">
    <mergeCell ref="I11:I12"/>
    <mergeCell ref="A1:I1"/>
    <mergeCell ref="A3:I3"/>
    <mergeCell ref="A4:I4"/>
    <mergeCell ref="G5:H5"/>
    <mergeCell ref="A6:I6"/>
    <mergeCell ref="A7:I7"/>
    <mergeCell ref="A2:I2"/>
    <mergeCell ref="A11:A12"/>
    <mergeCell ref="B11:B12"/>
    <mergeCell ref="C11:C12"/>
    <mergeCell ref="A40:G40"/>
    <mergeCell ref="A49:F49"/>
    <mergeCell ref="A116:F116"/>
    <mergeCell ref="A111:F111"/>
    <mergeCell ref="A115:F115"/>
    <mergeCell ref="A148:G148"/>
    <mergeCell ref="A160:F160"/>
    <mergeCell ref="A162:F162"/>
    <mergeCell ref="A181:F181"/>
    <mergeCell ref="A173:F173"/>
    <mergeCell ref="A176:F176"/>
    <mergeCell ref="A194:F194"/>
    <mergeCell ref="A204:B204"/>
    <mergeCell ref="A207:C207"/>
    <mergeCell ref="A208:C208"/>
    <mergeCell ref="A199:F199"/>
    <mergeCell ref="A200:G200"/>
  </mergeCells>
  <pageMargins left="0" right="0" top="0.5" bottom="0.25" header="0" footer="0"/>
  <pageSetup paperSize="14" scale="59" orientation="landscape" r:id="rId1"/>
  <rowBreaks count="3" manualBreakCount="3">
    <brk id="42" max="10" man="1"/>
    <brk id="101" max="16383" man="1"/>
    <brk id="18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0F49-FC0C-4A4D-AC4E-70FE059C794C}">
  <dimension ref="A1:R998"/>
  <sheetViews>
    <sheetView view="pageBreakPreview" topLeftCell="A163" zoomScale="60" zoomScaleNormal="100" workbookViewId="0">
      <selection sqref="A1:K8"/>
    </sheetView>
  </sheetViews>
  <sheetFormatPr defaultColWidth="14.44140625" defaultRowHeight="15" customHeight="1" outlineLevelRow="1" x14ac:dyDescent="0.3"/>
  <cols>
    <col min="1" max="4" width="9.109375" customWidth="1"/>
    <col min="5" max="5" width="24.109375" customWidth="1"/>
    <col min="6" max="6" width="12.44140625" customWidth="1"/>
    <col min="7" max="7" width="15.5546875" customWidth="1"/>
    <col min="8" max="8" width="14.44140625" customWidth="1"/>
    <col min="9" max="10" width="14.5546875" customWidth="1"/>
    <col min="11" max="11" width="26.5546875" customWidth="1"/>
    <col min="12" max="18" width="9.109375" customWidth="1"/>
  </cols>
  <sheetData>
    <row r="1" spans="1:18" ht="15" customHeight="1" x14ac:dyDescent="0.4">
      <c r="A1" s="351" t="s">
        <v>829</v>
      </c>
      <c r="B1" s="352"/>
      <c r="C1" s="352"/>
      <c r="D1" s="352"/>
      <c r="E1" s="352"/>
      <c r="F1" s="352"/>
      <c r="G1" s="352"/>
      <c r="H1" s="352"/>
      <c r="I1" s="352"/>
      <c r="J1" s="352"/>
      <c r="K1" s="353"/>
      <c r="L1" s="283"/>
      <c r="M1" s="283"/>
      <c r="N1" s="283"/>
      <c r="O1" s="283"/>
      <c r="P1" s="283"/>
      <c r="Q1" s="283"/>
      <c r="R1" s="283"/>
    </row>
    <row r="2" spans="1:18" ht="15" customHeight="1" x14ac:dyDescent="0.4">
      <c r="A2" s="361" t="s">
        <v>830</v>
      </c>
      <c r="B2" s="362"/>
      <c r="C2" s="362"/>
      <c r="D2" s="362"/>
      <c r="E2" s="362"/>
      <c r="F2" s="362"/>
      <c r="G2" s="362"/>
      <c r="H2" s="362"/>
      <c r="I2" s="362"/>
      <c r="J2" s="362"/>
      <c r="K2" s="363"/>
      <c r="L2" s="283"/>
      <c r="M2" s="283"/>
      <c r="N2" s="283"/>
      <c r="O2" s="283"/>
      <c r="P2" s="283"/>
      <c r="Q2" s="283"/>
      <c r="R2" s="283"/>
    </row>
    <row r="3" spans="1:18" ht="15" customHeight="1" x14ac:dyDescent="0.3">
      <c r="A3" s="354" t="s">
        <v>831</v>
      </c>
      <c r="B3" s="355"/>
      <c r="C3" s="355"/>
      <c r="D3" s="355"/>
      <c r="E3" s="355"/>
      <c r="F3" s="355"/>
      <c r="G3" s="355"/>
      <c r="H3" s="355"/>
      <c r="I3" s="355"/>
      <c r="J3" s="355"/>
      <c r="K3" s="356"/>
      <c r="L3" s="4"/>
      <c r="M3" s="4"/>
      <c r="N3" s="4"/>
      <c r="O3" s="4"/>
      <c r="P3" s="4"/>
      <c r="Q3" s="4"/>
      <c r="R3" s="4"/>
    </row>
    <row r="4" spans="1:18" ht="15" customHeight="1" x14ac:dyDescent="0.3">
      <c r="A4" s="357"/>
      <c r="B4" s="331"/>
      <c r="C4" s="331"/>
      <c r="D4" s="331"/>
      <c r="E4" s="331"/>
      <c r="F4" s="331"/>
      <c r="G4" s="331"/>
      <c r="H4" s="331"/>
      <c r="I4" s="331"/>
      <c r="J4" s="331"/>
      <c r="K4" s="332"/>
      <c r="L4" s="4"/>
      <c r="M4" s="4"/>
      <c r="N4" s="4"/>
      <c r="O4" s="4"/>
      <c r="P4" s="4"/>
      <c r="Q4" s="4"/>
      <c r="R4" s="4"/>
    </row>
    <row r="5" spans="1:18" ht="15" customHeight="1" x14ac:dyDescent="0.3">
      <c r="A5" s="284"/>
      <c r="B5" s="7"/>
      <c r="C5" s="7"/>
      <c r="D5" s="7"/>
      <c r="E5" s="7"/>
      <c r="F5" s="7"/>
      <c r="G5" s="7"/>
      <c r="H5" s="8"/>
      <c r="I5" s="358"/>
      <c r="J5" s="331"/>
      <c r="K5" s="6"/>
      <c r="L5" s="4"/>
      <c r="M5" s="4"/>
      <c r="N5" s="4"/>
      <c r="O5" s="4"/>
      <c r="P5" s="4"/>
      <c r="Q5" s="4"/>
      <c r="R5" s="4"/>
    </row>
    <row r="6" spans="1:18" ht="15" customHeight="1" x14ac:dyDescent="0.3">
      <c r="A6" s="359" t="s">
        <v>428</v>
      </c>
      <c r="B6" s="331"/>
      <c r="C6" s="331"/>
      <c r="D6" s="331"/>
      <c r="E6" s="331"/>
      <c r="F6" s="331"/>
      <c r="G6" s="331"/>
      <c r="H6" s="331"/>
      <c r="I6" s="331"/>
      <c r="J6" s="331"/>
      <c r="K6" s="332"/>
      <c r="L6" s="4"/>
      <c r="M6" s="4"/>
      <c r="N6" s="4"/>
      <c r="O6" s="4"/>
      <c r="P6" s="4"/>
      <c r="Q6" s="4"/>
      <c r="R6" s="4"/>
    </row>
    <row r="7" spans="1:18" ht="15" customHeight="1" x14ac:dyDescent="0.3">
      <c r="A7" s="360" t="s">
        <v>0</v>
      </c>
      <c r="B7" s="331"/>
      <c r="C7" s="331"/>
      <c r="D7" s="331"/>
      <c r="E7" s="331"/>
      <c r="F7" s="331"/>
      <c r="G7" s="331"/>
      <c r="H7" s="331"/>
      <c r="I7" s="331"/>
      <c r="J7" s="331"/>
      <c r="K7" s="332"/>
      <c r="L7" s="4"/>
      <c r="M7" s="4"/>
      <c r="N7" s="4"/>
      <c r="O7" s="4"/>
      <c r="P7" s="4"/>
      <c r="Q7" s="4"/>
      <c r="R7" s="4"/>
    </row>
    <row r="8" spans="1:18" ht="15" customHeight="1" x14ac:dyDescent="0.3">
      <c r="A8" s="242"/>
      <c r="B8" s="4"/>
      <c r="C8" s="4"/>
      <c r="D8" s="4"/>
      <c r="E8" s="4"/>
      <c r="F8" s="4"/>
      <c r="G8" s="4"/>
      <c r="H8" s="4"/>
      <c r="I8" s="4"/>
      <c r="J8" s="4"/>
      <c r="K8" s="9"/>
      <c r="L8" s="4"/>
      <c r="M8" s="4"/>
      <c r="N8" s="4"/>
      <c r="O8" s="4"/>
      <c r="P8" s="4"/>
      <c r="Q8" s="4"/>
      <c r="R8" s="4"/>
    </row>
    <row r="9" spans="1:18" ht="15" customHeight="1" x14ac:dyDescent="0.3">
      <c r="A9" s="372" t="s">
        <v>1</v>
      </c>
      <c r="B9" s="372" t="s">
        <v>2</v>
      </c>
      <c r="C9" s="374" t="s">
        <v>3</v>
      </c>
      <c r="D9" s="347"/>
      <c r="E9" s="348"/>
      <c r="F9" s="243" t="s">
        <v>4</v>
      </c>
      <c r="G9" s="243" t="s">
        <v>5</v>
      </c>
      <c r="H9" s="243" t="s">
        <v>6</v>
      </c>
      <c r="I9" s="243" t="s">
        <v>2</v>
      </c>
      <c r="J9" s="244" t="s">
        <v>7</v>
      </c>
      <c r="K9" s="372" t="s">
        <v>8</v>
      </c>
      <c r="L9" s="13"/>
      <c r="M9" s="13"/>
      <c r="N9" s="13"/>
      <c r="O9" s="13"/>
      <c r="P9" s="13"/>
      <c r="Q9" s="13"/>
      <c r="R9" s="13"/>
    </row>
    <row r="10" spans="1:18" ht="15" customHeight="1" x14ac:dyDescent="0.3">
      <c r="A10" s="373"/>
      <c r="B10" s="373"/>
      <c r="C10" s="375"/>
      <c r="D10" s="341"/>
      <c r="E10" s="342"/>
      <c r="F10" s="245" t="s">
        <v>9</v>
      </c>
      <c r="G10" s="245" t="s">
        <v>10</v>
      </c>
      <c r="H10" s="245" t="s">
        <v>11</v>
      </c>
      <c r="I10" s="245" t="s">
        <v>12</v>
      </c>
      <c r="J10" s="246" t="s">
        <v>12</v>
      </c>
      <c r="K10" s="373"/>
      <c r="L10" s="13"/>
      <c r="M10" s="13"/>
      <c r="N10" s="13"/>
      <c r="O10" s="13"/>
      <c r="P10" s="13"/>
      <c r="Q10" s="13"/>
      <c r="R10" s="13"/>
    </row>
    <row r="11" spans="1:18" ht="14.25" customHeight="1" outlineLevel="1" x14ac:dyDescent="0.3">
      <c r="A11" s="28">
        <v>1</v>
      </c>
      <c r="B11" s="28" t="s">
        <v>13</v>
      </c>
      <c r="C11" s="370" t="s">
        <v>429</v>
      </c>
      <c r="D11" s="328"/>
      <c r="E11" s="329"/>
      <c r="F11" s="28" t="s">
        <v>15</v>
      </c>
      <c r="G11" s="247" t="s">
        <v>172</v>
      </c>
      <c r="H11" s="247" t="s">
        <v>430</v>
      </c>
      <c r="I11" s="248">
        <v>43250</v>
      </c>
      <c r="J11" s="248">
        <f t="shared" ref="J11:J80" si="0">A11*I11</f>
        <v>43250</v>
      </c>
      <c r="K11" s="249" t="s">
        <v>25</v>
      </c>
      <c r="L11" s="21"/>
      <c r="M11" s="21"/>
      <c r="N11" s="21"/>
      <c r="O11" s="21"/>
      <c r="P11" s="21"/>
      <c r="Q11" s="21"/>
      <c r="R11" s="21"/>
    </row>
    <row r="12" spans="1:18" ht="14.25" customHeight="1" outlineLevel="1" x14ac:dyDescent="0.3">
      <c r="A12" s="28">
        <v>1</v>
      </c>
      <c r="B12" s="28" t="s">
        <v>13</v>
      </c>
      <c r="C12" s="370" t="s">
        <v>431</v>
      </c>
      <c r="D12" s="328"/>
      <c r="E12" s="329"/>
      <c r="F12" s="28" t="s">
        <v>15</v>
      </c>
      <c r="G12" s="247" t="s">
        <v>231</v>
      </c>
      <c r="H12" s="247" t="s">
        <v>432</v>
      </c>
      <c r="I12" s="250">
        <v>2500</v>
      </c>
      <c r="J12" s="248">
        <f t="shared" si="0"/>
        <v>2500</v>
      </c>
      <c r="K12" s="249" t="s">
        <v>25</v>
      </c>
      <c r="L12" s="21"/>
      <c r="M12" s="21"/>
      <c r="N12" s="21"/>
      <c r="O12" s="21"/>
      <c r="P12" s="21"/>
      <c r="Q12" s="21"/>
      <c r="R12" s="21"/>
    </row>
    <row r="13" spans="1:18" ht="16.5" customHeight="1" outlineLevel="1" x14ac:dyDescent="0.3">
      <c r="A13" s="64">
        <v>1</v>
      </c>
      <c r="B13" s="64" t="s">
        <v>13</v>
      </c>
      <c r="C13" s="367" t="s">
        <v>433</v>
      </c>
      <c r="D13" s="328"/>
      <c r="E13" s="329"/>
      <c r="F13" s="64" t="s">
        <v>15</v>
      </c>
      <c r="G13" s="65">
        <v>41395</v>
      </c>
      <c r="H13" s="251" t="s">
        <v>434</v>
      </c>
      <c r="I13" s="252">
        <v>2800</v>
      </c>
      <c r="J13" s="248">
        <f t="shared" si="0"/>
        <v>2800</v>
      </c>
      <c r="K13" s="253" t="s">
        <v>25</v>
      </c>
      <c r="L13" s="21"/>
      <c r="M13" s="21"/>
      <c r="N13" s="21"/>
      <c r="O13" s="21"/>
      <c r="P13" s="21"/>
      <c r="Q13" s="21"/>
      <c r="R13" s="21"/>
    </row>
    <row r="14" spans="1:18" ht="14.25" customHeight="1" outlineLevel="1" x14ac:dyDescent="0.3">
      <c r="A14" s="28">
        <v>1</v>
      </c>
      <c r="B14" s="28" t="s">
        <v>13</v>
      </c>
      <c r="C14" s="370" t="s">
        <v>435</v>
      </c>
      <c r="D14" s="328"/>
      <c r="E14" s="329"/>
      <c r="F14" s="28" t="s">
        <v>15</v>
      </c>
      <c r="G14" s="254">
        <v>41244</v>
      </c>
      <c r="H14" s="247" t="s">
        <v>436</v>
      </c>
      <c r="I14" s="250">
        <v>7500</v>
      </c>
      <c r="J14" s="248">
        <f t="shared" si="0"/>
        <v>7500</v>
      </c>
      <c r="K14" s="249" t="s">
        <v>25</v>
      </c>
      <c r="L14" s="21"/>
      <c r="M14" s="21"/>
      <c r="N14" s="21"/>
      <c r="O14" s="21"/>
      <c r="P14" s="21"/>
      <c r="Q14" s="21"/>
      <c r="R14" s="21"/>
    </row>
    <row r="15" spans="1:18" ht="14.25" customHeight="1" outlineLevel="1" x14ac:dyDescent="0.3">
      <c r="A15" s="28">
        <v>1</v>
      </c>
      <c r="B15" s="28" t="s">
        <v>13</v>
      </c>
      <c r="C15" s="370" t="s">
        <v>437</v>
      </c>
      <c r="D15" s="328"/>
      <c r="E15" s="329"/>
      <c r="F15" s="28" t="s">
        <v>15</v>
      </c>
      <c r="G15" s="255" t="s">
        <v>138</v>
      </c>
      <c r="H15" s="247" t="s">
        <v>438</v>
      </c>
      <c r="I15" s="256">
        <v>2000</v>
      </c>
      <c r="J15" s="248">
        <f t="shared" si="0"/>
        <v>2000</v>
      </c>
      <c r="K15" s="249" t="s">
        <v>25</v>
      </c>
      <c r="L15" s="21"/>
      <c r="M15" s="21"/>
      <c r="N15" s="21"/>
      <c r="O15" s="21"/>
      <c r="P15" s="21"/>
      <c r="Q15" s="21"/>
      <c r="R15" s="21"/>
    </row>
    <row r="16" spans="1:18" ht="14.25" customHeight="1" outlineLevel="1" x14ac:dyDescent="0.3">
      <c r="A16" s="28">
        <v>1</v>
      </c>
      <c r="B16" s="28" t="s">
        <v>13</v>
      </c>
      <c r="C16" s="370" t="s">
        <v>439</v>
      </c>
      <c r="D16" s="328"/>
      <c r="E16" s="329"/>
      <c r="F16" s="28" t="s">
        <v>15</v>
      </c>
      <c r="G16" s="254">
        <v>38108</v>
      </c>
      <c r="H16" s="247" t="s">
        <v>440</v>
      </c>
      <c r="I16" s="256">
        <v>19500</v>
      </c>
      <c r="J16" s="248">
        <f t="shared" si="0"/>
        <v>19500</v>
      </c>
      <c r="K16" s="249" t="s">
        <v>25</v>
      </c>
      <c r="L16" s="21"/>
      <c r="M16" s="21"/>
      <c r="N16" s="21"/>
      <c r="O16" s="21"/>
      <c r="P16" s="21"/>
      <c r="Q16" s="21"/>
      <c r="R16" s="21"/>
    </row>
    <row r="17" spans="1:18" ht="14.25" customHeight="1" outlineLevel="1" x14ac:dyDescent="0.3">
      <c r="A17" s="28">
        <v>1</v>
      </c>
      <c r="B17" s="28" t="s">
        <v>13</v>
      </c>
      <c r="C17" s="370" t="s">
        <v>441</v>
      </c>
      <c r="D17" s="328"/>
      <c r="E17" s="329"/>
      <c r="F17" s="28" t="s">
        <v>15</v>
      </c>
      <c r="G17" s="247" t="s">
        <v>442</v>
      </c>
      <c r="H17" s="247" t="s">
        <v>443</v>
      </c>
      <c r="I17" s="256">
        <v>11500</v>
      </c>
      <c r="J17" s="248">
        <f t="shared" si="0"/>
        <v>11500</v>
      </c>
      <c r="K17" s="249" t="s">
        <v>25</v>
      </c>
      <c r="L17" s="21"/>
      <c r="M17" s="21"/>
      <c r="N17" s="21"/>
      <c r="O17" s="21"/>
      <c r="P17" s="21"/>
      <c r="Q17" s="21"/>
      <c r="R17" s="21"/>
    </row>
    <row r="18" spans="1:18" ht="16.5" customHeight="1" outlineLevel="1" x14ac:dyDescent="0.3">
      <c r="A18" s="28">
        <v>1</v>
      </c>
      <c r="B18" s="28" t="s">
        <v>13</v>
      </c>
      <c r="C18" s="370" t="s">
        <v>444</v>
      </c>
      <c r="D18" s="328"/>
      <c r="E18" s="329"/>
      <c r="F18" s="28" t="s">
        <v>15</v>
      </c>
      <c r="G18" s="247" t="s">
        <v>445</v>
      </c>
      <c r="H18" s="247" t="s">
        <v>446</v>
      </c>
      <c r="I18" s="256">
        <v>9000</v>
      </c>
      <c r="J18" s="248">
        <f t="shared" si="0"/>
        <v>9000</v>
      </c>
      <c r="K18" s="249" t="s">
        <v>25</v>
      </c>
      <c r="L18" s="21"/>
      <c r="M18" s="21"/>
      <c r="N18" s="21"/>
      <c r="O18" s="21"/>
      <c r="P18" s="21"/>
      <c r="Q18" s="21"/>
      <c r="R18" s="21"/>
    </row>
    <row r="19" spans="1:18" ht="14.25" customHeight="1" outlineLevel="1" x14ac:dyDescent="0.3">
      <c r="A19" s="64">
        <v>1</v>
      </c>
      <c r="B19" s="64" t="s">
        <v>13</v>
      </c>
      <c r="C19" s="367" t="s">
        <v>447</v>
      </c>
      <c r="D19" s="328"/>
      <c r="E19" s="329"/>
      <c r="F19" s="64" t="s">
        <v>15</v>
      </c>
      <c r="G19" s="64">
        <v>2013</v>
      </c>
      <c r="H19" s="251" t="s">
        <v>448</v>
      </c>
      <c r="I19" s="257">
        <v>2000</v>
      </c>
      <c r="J19" s="248">
        <f t="shared" si="0"/>
        <v>2000</v>
      </c>
      <c r="K19" s="253" t="s">
        <v>21</v>
      </c>
      <c r="L19" s="21"/>
      <c r="M19" s="21"/>
      <c r="N19" s="21"/>
      <c r="O19" s="21"/>
      <c r="P19" s="21"/>
      <c r="Q19" s="21"/>
      <c r="R19" s="21"/>
    </row>
    <row r="20" spans="1:18" ht="14.25" customHeight="1" outlineLevel="1" x14ac:dyDescent="0.3">
      <c r="A20" s="64">
        <v>1</v>
      </c>
      <c r="B20" s="64" t="s">
        <v>13</v>
      </c>
      <c r="C20" s="367" t="s">
        <v>449</v>
      </c>
      <c r="D20" s="328"/>
      <c r="E20" s="329"/>
      <c r="F20" s="64" t="s">
        <v>15</v>
      </c>
      <c r="G20" s="65">
        <v>36373</v>
      </c>
      <c r="H20" s="251" t="s">
        <v>450</v>
      </c>
      <c r="I20" s="257">
        <v>7290</v>
      </c>
      <c r="J20" s="248">
        <f t="shared" si="0"/>
        <v>7290</v>
      </c>
      <c r="K20" s="253" t="s">
        <v>21</v>
      </c>
      <c r="L20" s="21"/>
      <c r="M20" s="21"/>
      <c r="N20" s="21"/>
      <c r="O20" s="21"/>
      <c r="P20" s="21"/>
      <c r="Q20" s="21"/>
      <c r="R20" s="21"/>
    </row>
    <row r="21" spans="1:18" ht="14.25" customHeight="1" outlineLevel="1" x14ac:dyDescent="0.3">
      <c r="A21" s="64">
        <v>1</v>
      </c>
      <c r="B21" s="64" t="s">
        <v>13</v>
      </c>
      <c r="C21" s="367" t="s">
        <v>451</v>
      </c>
      <c r="D21" s="328"/>
      <c r="E21" s="329"/>
      <c r="F21" s="64" t="s">
        <v>15</v>
      </c>
      <c r="G21" s="65">
        <v>40513</v>
      </c>
      <c r="H21" s="251" t="s">
        <v>452</v>
      </c>
      <c r="I21" s="257">
        <v>5000</v>
      </c>
      <c r="J21" s="248">
        <f t="shared" si="0"/>
        <v>5000</v>
      </c>
      <c r="K21" s="253" t="s">
        <v>21</v>
      </c>
      <c r="L21" s="21"/>
      <c r="M21" s="21"/>
      <c r="N21" s="21"/>
      <c r="O21" s="21"/>
      <c r="P21" s="21"/>
      <c r="Q21" s="21"/>
      <c r="R21" s="21"/>
    </row>
    <row r="22" spans="1:18" ht="14.25" customHeight="1" outlineLevel="1" x14ac:dyDescent="0.3">
      <c r="A22" s="22">
        <v>1</v>
      </c>
      <c r="B22" s="22" t="s">
        <v>13</v>
      </c>
      <c r="C22" s="20" t="s">
        <v>453</v>
      </c>
      <c r="D22" s="20"/>
      <c r="E22" s="20"/>
      <c r="F22" s="64" t="s">
        <v>15</v>
      </c>
      <c r="G22" s="22">
        <v>2022</v>
      </c>
      <c r="H22" s="105" t="s">
        <v>454</v>
      </c>
      <c r="I22" s="23">
        <v>109500</v>
      </c>
      <c r="J22" s="248">
        <f t="shared" si="0"/>
        <v>109500</v>
      </c>
      <c r="K22" s="253" t="s">
        <v>21</v>
      </c>
      <c r="L22" s="21"/>
      <c r="M22" s="21"/>
      <c r="N22" s="21"/>
      <c r="O22" s="21"/>
      <c r="P22" s="21"/>
      <c r="Q22" s="21"/>
      <c r="R22" s="21"/>
    </row>
    <row r="23" spans="1:18" ht="14.25" customHeight="1" outlineLevel="1" x14ac:dyDescent="0.3">
      <c r="A23" s="64">
        <v>1</v>
      </c>
      <c r="B23" s="64" t="s">
        <v>22</v>
      </c>
      <c r="C23" s="367" t="s">
        <v>455</v>
      </c>
      <c r="D23" s="328"/>
      <c r="E23" s="329"/>
      <c r="F23" s="64" t="s">
        <v>417</v>
      </c>
      <c r="G23" s="54">
        <v>40788</v>
      </c>
      <c r="H23" s="64" t="s">
        <v>456</v>
      </c>
      <c r="I23" s="252">
        <v>1800</v>
      </c>
      <c r="J23" s="248">
        <f t="shared" si="0"/>
        <v>1800</v>
      </c>
      <c r="K23" s="253" t="s">
        <v>153</v>
      </c>
      <c r="L23" s="21"/>
      <c r="M23" s="21"/>
      <c r="N23" s="21"/>
      <c r="O23" s="21"/>
      <c r="P23" s="21"/>
      <c r="Q23" s="21"/>
      <c r="R23" s="21"/>
    </row>
    <row r="24" spans="1:18" ht="16.5" customHeight="1" outlineLevel="1" x14ac:dyDescent="0.3">
      <c r="A24" s="64">
        <v>1</v>
      </c>
      <c r="B24" s="64" t="s">
        <v>13</v>
      </c>
      <c r="C24" s="367" t="s">
        <v>457</v>
      </c>
      <c r="D24" s="328"/>
      <c r="E24" s="329"/>
      <c r="F24" s="64" t="s">
        <v>15</v>
      </c>
      <c r="G24" s="64">
        <v>2002</v>
      </c>
      <c r="H24" s="251" t="s">
        <v>458</v>
      </c>
      <c r="I24" s="252">
        <v>28500</v>
      </c>
      <c r="J24" s="248">
        <f t="shared" si="0"/>
        <v>28500</v>
      </c>
      <c r="K24" s="253" t="s">
        <v>158</v>
      </c>
      <c r="L24" s="58"/>
      <c r="M24" s="58"/>
      <c r="N24" s="58"/>
      <c r="O24" s="58"/>
      <c r="P24" s="58"/>
      <c r="Q24" s="58"/>
      <c r="R24" s="58"/>
    </row>
    <row r="25" spans="1:18" ht="16.5" customHeight="1" outlineLevel="1" x14ac:dyDescent="0.3">
      <c r="A25" s="64">
        <v>1</v>
      </c>
      <c r="B25" s="64" t="s">
        <v>13</v>
      </c>
      <c r="C25" s="367" t="s">
        <v>459</v>
      </c>
      <c r="D25" s="328"/>
      <c r="E25" s="329"/>
      <c r="F25" s="64" t="s">
        <v>15</v>
      </c>
      <c r="G25" s="65">
        <v>38139</v>
      </c>
      <c r="H25" s="64" t="s">
        <v>460</v>
      </c>
      <c r="I25" s="252">
        <v>25000</v>
      </c>
      <c r="J25" s="248">
        <f t="shared" si="0"/>
        <v>25000</v>
      </c>
      <c r="K25" s="46" t="s">
        <v>28</v>
      </c>
      <c r="L25" s="58"/>
      <c r="M25" s="58"/>
      <c r="N25" s="58"/>
      <c r="O25" s="58"/>
      <c r="P25" s="58"/>
      <c r="Q25" s="58"/>
      <c r="R25" s="58"/>
    </row>
    <row r="26" spans="1:18" ht="14.25" customHeight="1" outlineLevel="1" x14ac:dyDescent="0.3">
      <c r="A26" s="64">
        <v>1</v>
      </c>
      <c r="B26" s="64" t="s">
        <v>13</v>
      </c>
      <c r="C26" s="367" t="s">
        <v>461</v>
      </c>
      <c r="D26" s="328"/>
      <c r="E26" s="329"/>
      <c r="F26" s="64" t="s">
        <v>15</v>
      </c>
      <c r="G26" s="65">
        <v>38353</v>
      </c>
      <c r="H26" s="64" t="s">
        <v>462</v>
      </c>
      <c r="I26" s="252">
        <v>11250</v>
      </c>
      <c r="J26" s="248">
        <f t="shared" si="0"/>
        <v>11250</v>
      </c>
      <c r="K26" s="46" t="s">
        <v>28</v>
      </c>
      <c r="L26" s="21"/>
      <c r="M26" s="21"/>
      <c r="N26" s="21"/>
      <c r="O26" s="21"/>
      <c r="P26" s="21"/>
      <c r="Q26" s="21"/>
      <c r="R26" s="21"/>
    </row>
    <row r="27" spans="1:18" ht="14.25" customHeight="1" outlineLevel="1" x14ac:dyDescent="0.3">
      <c r="A27" s="64">
        <v>1</v>
      </c>
      <c r="B27" s="64" t="s">
        <v>13</v>
      </c>
      <c r="C27" s="367" t="s">
        <v>463</v>
      </c>
      <c r="D27" s="328"/>
      <c r="E27" s="329"/>
      <c r="F27" s="64" t="s">
        <v>15</v>
      </c>
      <c r="G27" s="65">
        <v>42339</v>
      </c>
      <c r="H27" s="64" t="s">
        <v>464</v>
      </c>
      <c r="I27" s="252">
        <v>0</v>
      </c>
      <c r="J27" s="248">
        <f t="shared" si="0"/>
        <v>0</v>
      </c>
      <c r="K27" s="46" t="s">
        <v>28</v>
      </c>
      <c r="L27" s="21"/>
      <c r="M27" s="21"/>
      <c r="N27" s="21"/>
      <c r="O27" s="21"/>
      <c r="P27" s="21"/>
      <c r="Q27" s="21"/>
      <c r="R27" s="21"/>
    </row>
    <row r="28" spans="1:18" ht="14.25" customHeight="1" outlineLevel="1" x14ac:dyDescent="0.3">
      <c r="A28" s="22">
        <v>1</v>
      </c>
      <c r="B28" s="22" t="s">
        <v>465</v>
      </c>
      <c r="C28" s="367" t="s">
        <v>466</v>
      </c>
      <c r="D28" s="328"/>
      <c r="E28" s="329"/>
      <c r="F28" s="64" t="s">
        <v>15</v>
      </c>
      <c r="G28" s="65">
        <v>45150</v>
      </c>
      <c r="H28" s="22" t="s">
        <v>467</v>
      </c>
      <c r="I28" s="23">
        <v>18500</v>
      </c>
      <c r="J28" s="248">
        <f t="shared" si="0"/>
        <v>18500</v>
      </c>
      <c r="K28" s="46" t="s">
        <v>31</v>
      </c>
      <c r="L28" s="21"/>
      <c r="M28" s="21"/>
      <c r="N28" s="21"/>
      <c r="O28" s="21"/>
      <c r="P28" s="21"/>
      <c r="Q28" s="21"/>
      <c r="R28" s="21"/>
    </row>
    <row r="29" spans="1:18" ht="16.5" customHeight="1" outlineLevel="1" x14ac:dyDescent="0.3">
      <c r="A29" s="64">
        <v>1</v>
      </c>
      <c r="B29" s="64" t="s">
        <v>18</v>
      </c>
      <c r="C29" s="367" t="s">
        <v>468</v>
      </c>
      <c r="D29" s="328"/>
      <c r="E29" s="329"/>
      <c r="F29" s="64" t="s">
        <v>15</v>
      </c>
      <c r="G29" s="65">
        <v>41974</v>
      </c>
      <c r="H29" s="251" t="s">
        <v>469</v>
      </c>
      <c r="I29" s="252">
        <v>17400</v>
      </c>
      <c r="J29" s="248">
        <f t="shared" si="0"/>
        <v>17400</v>
      </c>
      <c r="K29" s="46" t="s">
        <v>36</v>
      </c>
      <c r="L29" s="21"/>
      <c r="M29" s="21"/>
      <c r="N29" s="21"/>
      <c r="O29" s="21"/>
      <c r="P29" s="21"/>
      <c r="Q29" s="21"/>
      <c r="R29" s="21"/>
    </row>
    <row r="30" spans="1:18" ht="16.5" customHeight="1" outlineLevel="1" x14ac:dyDescent="0.3">
      <c r="A30" s="64">
        <v>1</v>
      </c>
      <c r="B30" s="64" t="s">
        <v>13</v>
      </c>
      <c r="C30" s="258" t="s">
        <v>470</v>
      </c>
      <c r="D30" s="258"/>
      <c r="E30" s="258"/>
      <c r="F30" s="64" t="s">
        <v>15</v>
      </c>
      <c r="G30" s="65">
        <v>38292</v>
      </c>
      <c r="H30" s="251" t="s">
        <v>471</v>
      </c>
      <c r="I30" s="257">
        <v>13500</v>
      </c>
      <c r="J30" s="248">
        <f t="shared" si="0"/>
        <v>13500</v>
      </c>
      <c r="K30" s="46" t="s">
        <v>472</v>
      </c>
      <c r="L30" s="58"/>
      <c r="M30" s="58"/>
      <c r="N30" s="58"/>
      <c r="O30" s="58"/>
      <c r="P30" s="58"/>
      <c r="Q30" s="58"/>
      <c r="R30" s="58"/>
    </row>
    <row r="31" spans="1:18" ht="16.5" customHeight="1" outlineLevel="1" x14ac:dyDescent="0.3">
      <c r="A31" s="64">
        <v>1</v>
      </c>
      <c r="B31" s="64" t="s">
        <v>13</v>
      </c>
      <c r="C31" s="258" t="s">
        <v>473</v>
      </c>
      <c r="D31" s="258"/>
      <c r="E31" s="258"/>
      <c r="F31" s="64" t="s">
        <v>15</v>
      </c>
      <c r="G31" s="65">
        <v>42278</v>
      </c>
      <c r="H31" s="251" t="s">
        <v>474</v>
      </c>
      <c r="I31" s="257">
        <v>9800</v>
      </c>
      <c r="J31" s="248">
        <f t="shared" si="0"/>
        <v>9800</v>
      </c>
      <c r="K31" s="46" t="s">
        <v>36</v>
      </c>
      <c r="L31" s="21"/>
      <c r="M31" s="21"/>
      <c r="N31" s="21"/>
      <c r="O31" s="21"/>
      <c r="P31" s="21"/>
      <c r="Q31" s="21"/>
      <c r="R31" s="21"/>
    </row>
    <row r="32" spans="1:18" ht="16.5" customHeight="1" outlineLevel="1" x14ac:dyDescent="0.3">
      <c r="A32" s="64">
        <v>1</v>
      </c>
      <c r="B32" s="64" t="s">
        <v>13</v>
      </c>
      <c r="C32" s="367" t="s">
        <v>466</v>
      </c>
      <c r="D32" s="328"/>
      <c r="E32" s="329"/>
      <c r="F32" s="64" t="s">
        <v>15</v>
      </c>
      <c r="G32" s="65">
        <v>41244</v>
      </c>
      <c r="H32" s="251" t="s">
        <v>475</v>
      </c>
      <c r="I32" s="257">
        <v>9500</v>
      </c>
      <c r="J32" s="248">
        <f t="shared" si="0"/>
        <v>9500</v>
      </c>
      <c r="K32" s="46" t="s">
        <v>472</v>
      </c>
      <c r="L32" s="58"/>
      <c r="M32" s="58"/>
      <c r="N32" s="58"/>
      <c r="O32" s="58"/>
      <c r="P32" s="58"/>
      <c r="Q32" s="58"/>
      <c r="R32" s="58"/>
    </row>
    <row r="33" spans="1:18" ht="16.5" customHeight="1" outlineLevel="1" x14ac:dyDescent="0.3">
      <c r="A33" s="64">
        <v>1</v>
      </c>
      <c r="B33" s="64" t="s">
        <v>13</v>
      </c>
      <c r="C33" s="367" t="s">
        <v>476</v>
      </c>
      <c r="D33" s="328"/>
      <c r="E33" s="329"/>
      <c r="F33" s="64" t="s">
        <v>15</v>
      </c>
      <c r="G33" s="65">
        <v>41334</v>
      </c>
      <c r="H33" s="251" t="s">
        <v>477</v>
      </c>
      <c r="I33" s="252">
        <v>2800</v>
      </c>
      <c r="J33" s="248">
        <f t="shared" si="0"/>
        <v>2800</v>
      </c>
      <c r="K33" s="46" t="s">
        <v>36</v>
      </c>
      <c r="L33" s="21"/>
      <c r="M33" s="21"/>
      <c r="N33" s="21"/>
      <c r="O33" s="21"/>
      <c r="P33" s="21"/>
      <c r="Q33" s="21"/>
      <c r="R33" s="21"/>
    </row>
    <row r="34" spans="1:18" ht="16.5" customHeight="1" outlineLevel="1" x14ac:dyDescent="0.3">
      <c r="A34" s="64">
        <v>1</v>
      </c>
      <c r="B34" s="64" t="s">
        <v>13</v>
      </c>
      <c r="C34" s="367" t="s">
        <v>478</v>
      </c>
      <c r="D34" s="328"/>
      <c r="E34" s="329"/>
      <c r="F34" s="64" t="s">
        <v>15</v>
      </c>
      <c r="G34" s="65">
        <v>39052</v>
      </c>
      <c r="H34" s="251" t="s">
        <v>479</v>
      </c>
      <c r="I34" s="257">
        <v>4200</v>
      </c>
      <c r="J34" s="248">
        <f t="shared" si="0"/>
        <v>4200</v>
      </c>
      <c r="K34" s="46" t="s">
        <v>36</v>
      </c>
      <c r="L34" s="21"/>
      <c r="M34" s="21"/>
      <c r="N34" s="21"/>
      <c r="O34" s="21"/>
      <c r="P34" s="21"/>
      <c r="Q34" s="21"/>
      <c r="R34" s="21"/>
    </row>
    <row r="35" spans="1:18" ht="16.5" customHeight="1" outlineLevel="1" x14ac:dyDescent="0.3">
      <c r="A35" s="64">
        <v>1</v>
      </c>
      <c r="B35" s="64" t="s">
        <v>13</v>
      </c>
      <c r="C35" s="367" t="s">
        <v>480</v>
      </c>
      <c r="D35" s="328"/>
      <c r="E35" s="329"/>
      <c r="F35" s="64" t="s">
        <v>15</v>
      </c>
      <c r="G35" s="65">
        <v>41974</v>
      </c>
      <c r="H35" s="251" t="s">
        <v>481</v>
      </c>
      <c r="I35" s="257">
        <v>17450</v>
      </c>
      <c r="J35" s="248">
        <f t="shared" si="0"/>
        <v>17450</v>
      </c>
      <c r="K35" s="46" t="s">
        <v>36</v>
      </c>
      <c r="L35" s="21"/>
      <c r="M35" s="21"/>
      <c r="N35" s="21"/>
      <c r="O35" s="21"/>
      <c r="P35" s="21"/>
      <c r="Q35" s="21"/>
      <c r="R35" s="21"/>
    </row>
    <row r="36" spans="1:18" ht="16.5" customHeight="1" outlineLevel="1" x14ac:dyDescent="0.3">
      <c r="A36" s="64">
        <v>1</v>
      </c>
      <c r="B36" s="64" t="s">
        <v>13</v>
      </c>
      <c r="C36" s="367" t="s">
        <v>482</v>
      </c>
      <c r="D36" s="328"/>
      <c r="E36" s="329"/>
      <c r="F36" s="64" t="s">
        <v>15</v>
      </c>
      <c r="G36" s="65">
        <v>41974</v>
      </c>
      <c r="H36" s="251" t="s">
        <v>483</v>
      </c>
      <c r="I36" s="257">
        <v>7860</v>
      </c>
      <c r="J36" s="248">
        <f t="shared" si="0"/>
        <v>7860</v>
      </c>
      <c r="K36" s="46" t="s">
        <v>36</v>
      </c>
      <c r="L36" s="21"/>
      <c r="M36" s="21"/>
      <c r="N36" s="21"/>
      <c r="O36" s="21"/>
      <c r="P36" s="21"/>
      <c r="Q36" s="21"/>
      <c r="R36" s="21"/>
    </row>
    <row r="37" spans="1:18" ht="16.5" customHeight="1" outlineLevel="1" x14ac:dyDescent="0.3">
      <c r="A37" s="64">
        <v>1</v>
      </c>
      <c r="B37" s="64" t="s">
        <v>13</v>
      </c>
      <c r="C37" s="367" t="s">
        <v>484</v>
      </c>
      <c r="D37" s="328"/>
      <c r="E37" s="329"/>
      <c r="F37" s="64" t="s">
        <v>15</v>
      </c>
      <c r="G37" s="71" t="s">
        <v>485</v>
      </c>
      <c r="H37" s="251" t="s">
        <v>486</v>
      </c>
      <c r="I37" s="257">
        <v>2000</v>
      </c>
      <c r="J37" s="248">
        <f t="shared" si="0"/>
        <v>2000</v>
      </c>
      <c r="K37" s="46" t="s">
        <v>36</v>
      </c>
      <c r="L37" s="21"/>
      <c r="M37" s="21"/>
      <c r="N37" s="21"/>
      <c r="O37" s="21"/>
      <c r="P37" s="21"/>
      <c r="Q37" s="21"/>
      <c r="R37" s="21"/>
    </row>
    <row r="38" spans="1:18" ht="16.5" customHeight="1" outlineLevel="1" x14ac:dyDescent="0.3">
      <c r="A38" s="64">
        <v>1</v>
      </c>
      <c r="B38" s="64" t="s">
        <v>13</v>
      </c>
      <c r="C38" s="367" t="s">
        <v>487</v>
      </c>
      <c r="D38" s="328"/>
      <c r="E38" s="329"/>
      <c r="F38" s="64" t="s">
        <v>15</v>
      </c>
      <c r="G38" s="71" t="s">
        <v>485</v>
      </c>
      <c r="H38" s="251" t="s">
        <v>488</v>
      </c>
      <c r="I38" s="252">
        <v>2900</v>
      </c>
      <c r="J38" s="248">
        <f t="shared" si="0"/>
        <v>2900</v>
      </c>
      <c r="K38" s="46" t="s">
        <v>36</v>
      </c>
      <c r="L38" s="21"/>
      <c r="M38" s="21"/>
      <c r="N38" s="21"/>
      <c r="O38" s="21"/>
      <c r="P38" s="21"/>
      <c r="Q38" s="21"/>
      <c r="R38" s="21"/>
    </row>
    <row r="39" spans="1:18" ht="16.5" customHeight="1" outlineLevel="1" x14ac:dyDescent="0.3">
      <c r="A39" s="64">
        <v>1</v>
      </c>
      <c r="B39" s="64" t="s">
        <v>13</v>
      </c>
      <c r="C39" s="367" t="s">
        <v>489</v>
      </c>
      <c r="D39" s="328"/>
      <c r="E39" s="329"/>
      <c r="F39" s="64" t="s">
        <v>15</v>
      </c>
      <c r="G39" s="251" t="s">
        <v>172</v>
      </c>
      <c r="H39" s="64" t="s">
        <v>490</v>
      </c>
      <c r="I39" s="252">
        <v>25000</v>
      </c>
      <c r="J39" s="248">
        <f t="shared" si="0"/>
        <v>25000</v>
      </c>
      <c r="K39" s="46" t="s">
        <v>46</v>
      </c>
      <c r="L39" s="21"/>
      <c r="M39" s="21"/>
      <c r="N39" s="21"/>
      <c r="O39" s="21"/>
      <c r="P39" s="21"/>
      <c r="Q39" s="21"/>
      <c r="R39" s="21"/>
    </row>
    <row r="40" spans="1:18" ht="16.5" customHeight="1" outlineLevel="1" x14ac:dyDescent="0.3">
      <c r="A40" s="64">
        <v>1</v>
      </c>
      <c r="B40" s="64" t="s">
        <v>13</v>
      </c>
      <c r="C40" s="367" t="s">
        <v>491</v>
      </c>
      <c r="D40" s="328"/>
      <c r="E40" s="329"/>
      <c r="F40" s="64" t="s">
        <v>15</v>
      </c>
      <c r="G40" s="65">
        <v>40057</v>
      </c>
      <c r="H40" s="64" t="s">
        <v>490</v>
      </c>
      <c r="I40" s="252">
        <v>18500</v>
      </c>
      <c r="J40" s="248">
        <f t="shared" si="0"/>
        <v>18500</v>
      </c>
      <c r="K40" s="46" t="s">
        <v>46</v>
      </c>
      <c r="L40" s="21"/>
      <c r="M40" s="21"/>
      <c r="N40" s="21"/>
      <c r="O40" s="21"/>
      <c r="P40" s="21"/>
      <c r="Q40" s="21"/>
      <c r="R40" s="21"/>
    </row>
    <row r="41" spans="1:18" ht="16.5" customHeight="1" outlineLevel="1" x14ac:dyDescent="0.3">
      <c r="A41" s="64">
        <v>1</v>
      </c>
      <c r="B41" s="64" t="s">
        <v>13</v>
      </c>
      <c r="C41" s="367" t="s">
        <v>492</v>
      </c>
      <c r="D41" s="328"/>
      <c r="E41" s="329"/>
      <c r="F41" s="64" t="s">
        <v>15</v>
      </c>
      <c r="G41" s="65">
        <v>39417</v>
      </c>
      <c r="H41" s="64" t="s">
        <v>493</v>
      </c>
      <c r="I41" s="252">
        <v>128837</v>
      </c>
      <c r="J41" s="248">
        <f t="shared" si="0"/>
        <v>128837</v>
      </c>
      <c r="K41" s="46" t="s">
        <v>46</v>
      </c>
      <c r="L41" s="21"/>
      <c r="M41" s="21"/>
      <c r="N41" s="21"/>
      <c r="O41" s="21"/>
      <c r="P41" s="21"/>
      <c r="Q41" s="21"/>
      <c r="R41" s="21"/>
    </row>
    <row r="42" spans="1:18" ht="16.5" customHeight="1" outlineLevel="1" x14ac:dyDescent="0.3">
      <c r="A42" s="64">
        <v>1</v>
      </c>
      <c r="B42" s="64" t="s">
        <v>13</v>
      </c>
      <c r="C42" s="367" t="s">
        <v>494</v>
      </c>
      <c r="D42" s="328"/>
      <c r="E42" s="329"/>
      <c r="F42" s="64" t="s">
        <v>15</v>
      </c>
      <c r="G42" s="65">
        <v>40513</v>
      </c>
      <c r="H42" s="104" t="s">
        <v>495</v>
      </c>
      <c r="I42" s="256">
        <v>67500</v>
      </c>
      <c r="J42" s="248">
        <f t="shared" si="0"/>
        <v>67500</v>
      </c>
      <c r="K42" s="46" t="s">
        <v>496</v>
      </c>
      <c r="L42" s="21"/>
      <c r="M42" s="21"/>
      <c r="N42" s="21"/>
      <c r="O42" s="21"/>
      <c r="P42" s="21"/>
      <c r="Q42" s="21"/>
      <c r="R42" s="21"/>
    </row>
    <row r="43" spans="1:18" ht="16.5" customHeight="1" outlineLevel="1" x14ac:dyDescent="0.3">
      <c r="A43" s="64">
        <v>1</v>
      </c>
      <c r="B43" s="64" t="s">
        <v>13</v>
      </c>
      <c r="C43" s="258" t="s">
        <v>497</v>
      </c>
      <c r="D43" s="258"/>
      <c r="E43" s="258"/>
      <c r="F43" s="64" t="s">
        <v>15</v>
      </c>
      <c r="G43" s="65">
        <v>41244</v>
      </c>
      <c r="H43" s="104" t="s">
        <v>498</v>
      </c>
      <c r="I43" s="252">
        <v>21500</v>
      </c>
      <c r="J43" s="248">
        <f t="shared" si="0"/>
        <v>21500</v>
      </c>
      <c r="K43" s="46" t="s">
        <v>46</v>
      </c>
      <c r="L43" s="21"/>
      <c r="M43" s="21"/>
      <c r="N43" s="21"/>
      <c r="O43" s="21"/>
      <c r="P43" s="21"/>
      <c r="Q43" s="21"/>
      <c r="R43" s="21"/>
    </row>
    <row r="44" spans="1:18" ht="16.5" customHeight="1" outlineLevel="1" x14ac:dyDescent="0.3">
      <c r="A44" s="64">
        <v>1</v>
      </c>
      <c r="B44" s="64" t="s">
        <v>13</v>
      </c>
      <c r="C44" s="367" t="s">
        <v>499</v>
      </c>
      <c r="D44" s="328"/>
      <c r="E44" s="329"/>
      <c r="F44" s="64" t="s">
        <v>15</v>
      </c>
      <c r="G44" s="65">
        <v>39479</v>
      </c>
      <c r="H44" s="104" t="s">
        <v>500</v>
      </c>
      <c r="I44" s="252">
        <v>122777.2</v>
      </c>
      <c r="J44" s="248">
        <f t="shared" si="0"/>
        <v>122777.2</v>
      </c>
      <c r="K44" s="46" t="s">
        <v>46</v>
      </c>
      <c r="L44" s="58"/>
      <c r="M44" s="58"/>
      <c r="N44" s="58"/>
      <c r="O44" s="58"/>
      <c r="P44" s="58"/>
      <c r="Q44" s="58"/>
      <c r="R44" s="58"/>
    </row>
    <row r="45" spans="1:18" ht="16.5" customHeight="1" outlineLevel="1" x14ac:dyDescent="0.3">
      <c r="A45" s="64">
        <v>1</v>
      </c>
      <c r="B45" s="64" t="s">
        <v>13</v>
      </c>
      <c r="C45" s="367" t="s">
        <v>501</v>
      </c>
      <c r="D45" s="328"/>
      <c r="E45" s="329"/>
      <c r="F45" s="64" t="s">
        <v>15</v>
      </c>
      <c r="G45" s="65">
        <v>42248</v>
      </c>
      <c r="H45" s="104" t="s">
        <v>502</v>
      </c>
      <c r="I45" s="252">
        <v>79800</v>
      </c>
      <c r="J45" s="248">
        <f t="shared" si="0"/>
        <v>79800</v>
      </c>
      <c r="K45" s="46" t="s">
        <v>46</v>
      </c>
      <c r="L45" s="21"/>
      <c r="M45" s="21"/>
      <c r="N45" s="21"/>
      <c r="O45" s="21"/>
      <c r="P45" s="21"/>
      <c r="Q45" s="21"/>
      <c r="R45" s="21"/>
    </row>
    <row r="46" spans="1:18" ht="16.5" customHeight="1" outlineLevel="1" x14ac:dyDescent="0.3">
      <c r="A46" s="64">
        <v>1</v>
      </c>
      <c r="B46" s="64" t="s">
        <v>13</v>
      </c>
      <c r="C46" s="367" t="s">
        <v>503</v>
      </c>
      <c r="D46" s="328"/>
      <c r="E46" s="329"/>
      <c r="F46" s="64" t="s">
        <v>15</v>
      </c>
      <c r="G46" s="65">
        <v>38231</v>
      </c>
      <c r="H46" s="174" t="s">
        <v>504</v>
      </c>
      <c r="I46" s="252">
        <v>7950</v>
      </c>
      <c r="J46" s="248">
        <f t="shared" si="0"/>
        <v>7950</v>
      </c>
      <c r="K46" s="46" t="s">
        <v>46</v>
      </c>
      <c r="L46" s="21"/>
      <c r="M46" s="21"/>
      <c r="N46" s="21"/>
      <c r="O46" s="21"/>
      <c r="P46" s="21"/>
      <c r="Q46" s="21"/>
      <c r="R46" s="21"/>
    </row>
    <row r="47" spans="1:18" ht="16.5" customHeight="1" outlineLevel="1" x14ac:dyDescent="0.3">
      <c r="A47" s="64">
        <v>1</v>
      </c>
      <c r="B47" s="64" t="s">
        <v>13</v>
      </c>
      <c r="C47" s="367" t="s">
        <v>505</v>
      </c>
      <c r="D47" s="328"/>
      <c r="E47" s="329"/>
      <c r="F47" s="64" t="s">
        <v>15</v>
      </c>
      <c r="G47" s="65">
        <v>41730</v>
      </c>
      <c r="H47" s="174" t="s">
        <v>506</v>
      </c>
      <c r="I47" s="252">
        <v>10800</v>
      </c>
      <c r="J47" s="248">
        <f t="shared" si="0"/>
        <v>10800</v>
      </c>
      <c r="K47" s="46" t="s">
        <v>46</v>
      </c>
      <c r="L47" s="21"/>
      <c r="M47" s="21"/>
      <c r="N47" s="21"/>
      <c r="O47" s="21"/>
      <c r="P47" s="21"/>
      <c r="Q47" s="21"/>
      <c r="R47" s="21"/>
    </row>
    <row r="48" spans="1:18" ht="16.5" customHeight="1" outlineLevel="1" x14ac:dyDescent="0.3">
      <c r="A48" s="64">
        <v>1</v>
      </c>
      <c r="B48" s="64" t="s">
        <v>13</v>
      </c>
      <c r="C48" s="367" t="s">
        <v>507</v>
      </c>
      <c r="D48" s="328"/>
      <c r="E48" s="329"/>
      <c r="F48" s="64" t="s">
        <v>417</v>
      </c>
      <c r="G48" s="65">
        <v>41548</v>
      </c>
      <c r="H48" s="174" t="s">
        <v>508</v>
      </c>
      <c r="I48" s="252">
        <v>26800</v>
      </c>
      <c r="J48" s="248">
        <f t="shared" si="0"/>
        <v>26800</v>
      </c>
      <c r="K48" s="46" t="s">
        <v>46</v>
      </c>
      <c r="L48" s="21"/>
      <c r="M48" s="21"/>
      <c r="N48" s="21"/>
      <c r="O48" s="21"/>
      <c r="P48" s="21"/>
      <c r="Q48" s="21"/>
      <c r="R48" s="21"/>
    </row>
    <row r="49" spans="1:18" ht="16.5" customHeight="1" outlineLevel="1" x14ac:dyDescent="0.3">
      <c r="A49" s="64">
        <v>1</v>
      </c>
      <c r="B49" s="64" t="s">
        <v>13</v>
      </c>
      <c r="C49" s="367" t="s">
        <v>509</v>
      </c>
      <c r="D49" s="328"/>
      <c r="E49" s="329"/>
      <c r="F49" s="64" t="s">
        <v>15</v>
      </c>
      <c r="G49" s="65">
        <v>40787</v>
      </c>
      <c r="H49" s="104" t="s">
        <v>510</v>
      </c>
      <c r="I49" s="252">
        <v>75000</v>
      </c>
      <c r="J49" s="248">
        <f t="shared" si="0"/>
        <v>75000</v>
      </c>
      <c r="K49" s="46" t="s">
        <v>46</v>
      </c>
      <c r="L49" s="58"/>
      <c r="M49" s="58"/>
      <c r="N49" s="58"/>
      <c r="O49" s="58"/>
      <c r="P49" s="58"/>
      <c r="Q49" s="58"/>
      <c r="R49" s="58"/>
    </row>
    <row r="50" spans="1:18" ht="16.5" customHeight="1" outlineLevel="1" x14ac:dyDescent="0.3">
      <c r="A50" s="64">
        <v>1</v>
      </c>
      <c r="B50" s="64" t="s">
        <v>13</v>
      </c>
      <c r="C50" s="367" t="s">
        <v>451</v>
      </c>
      <c r="D50" s="328"/>
      <c r="E50" s="329"/>
      <c r="F50" s="64" t="s">
        <v>15</v>
      </c>
      <c r="G50" s="65">
        <v>40148</v>
      </c>
      <c r="H50" s="174" t="s">
        <v>511</v>
      </c>
      <c r="I50" s="252">
        <v>10800</v>
      </c>
      <c r="J50" s="248">
        <f t="shared" si="0"/>
        <v>10800</v>
      </c>
      <c r="K50" s="46" t="s">
        <v>46</v>
      </c>
      <c r="L50" s="21"/>
      <c r="M50" s="21"/>
      <c r="N50" s="21"/>
      <c r="O50" s="21"/>
      <c r="P50" s="21"/>
      <c r="Q50" s="21"/>
      <c r="R50" s="21"/>
    </row>
    <row r="51" spans="1:18" ht="16.5" customHeight="1" outlineLevel="1" x14ac:dyDescent="0.3">
      <c r="A51" s="64">
        <v>1</v>
      </c>
      <c r="B51" s="64" t="s">
        <v>13</v>
      </c>
      <c r="C51" s="367" t="s">
        <v>512</v>
      </c>
      <c r="D51" s="328"/>
      <c r="E51" s="329"/>
      <c r="F51" s="64" t="s">
        <v>15</v>
      </c>
      <c r="G51" s="64">
        <v>2014</v>
      </c>
      <c r="H51" s="64" t="s">
        <v>513</v>
      </c>
      <c r="I51" s="252">
        <v>25000</v>
      </c>
      <c r="J51" s="248">
        <f t="shared" si="0"/>
        <v>25000</v>
      </c>
      <c r="K51" s="46" t="s">
        <v>317</v>
      </c>
      <c r="L51" s="21"/>
      <c r="M51" s="21"/>
      <c r="N51" s="21"/>
      <c r="O51" s="21"/>
      <c r="P51" s="21"/>
      <c r="Q51" s="21"/>
      <c r="R51" s="21"/>
    </row>
    <row r="52" spans="1:18" ht="16.5" customHeight="1" outlineLevel="1" x14ac:dyDescent="0.3">
      <c r="A52" s="64">
        <v>1</v>
      </c>
      <c r="B52" s="64" t="s">
        <v>13</v>
      </c>
      <c r="C52" s="367" t="s">
        <v>514</v>
      </c>
      <c r="D52" s="328"/>
      <c r="E52" s="329"/>
      <c r="F52" s="64" t="s">
        <v>15</v>
      </c>
      <c r="G52" s="65">
        <v>41791</v>
      </c>
      <c r="H52" s="64" t="s">
        <v>515</v>
      </c>
      <c r="I52" s="252">
        <v>35000</v>
      </c>
      <c r="J52" s="248">
        <f t="shared" si="0"/>
        <v>35000</v>
      </c>
      <c r="K52" s="46" t="s">
        <v>317</v>
      </c>
      <c r="L52" s="21"/>
      <c r="M52" s="21"/>
      <c r="N52" s="21"/>
      <c r="O52" s="21"/>
      <c r="P52" s="21"/>
      <c r="Q52" s="21"/>
      <c r="R52" s="21"/>
    </row>
    <row r="53" spans="1:18" ht="16.5" customHeight="1" outlineLevel="1" x14ac:dyDescent="0.3">
      <c r="A53" s="64">
        <v>1</v>
      </c>
      <c r="B53" s="64" t="s">
        <v>13</v>
      </c>
      <c r="C53" s="367" t="s">
        <v>516</v>
      </c>
      <c r="D53" s="328"/>
      <c r="E53" s="329"/>
      <c r="F53" s="64" t="s">
        <v>15</v>
      </c>
      <c r="G53" s="259" t="s">
        <v>269</v>
      </c>
      <c r="H53" s="64" t="s">
        <v>517</v>
      </c>
      <c r="I53" s="252">
        <v>8000</v>
      </c>
      <c r="J53" s="248">
        <f t="shared" si="0"/>
        <v>8000</v>
      </c>
      <c r="K53" s="46" t="s">
        <v>317</v>
      </c>
      <c r="L53" s="21"/>
      <c r="M53" s="21"/>
      <c r="N53" s="21"/>
      <c r="O53" s="21"/>
      <c r="P53" s="21"/>
      <c r="Q53" s="21"/>
      <c r="R53" s="21"/>
    </row>
    <row r="54" spans="1:18" ht="16.5" customHeight="1" outlineLevel="1" x14ac:dyDescent="0.3">
      <c r="A54" s="64">
        <v>1</v>
      </c>
      <c r="B54" s="64" t="s">
        <v>13</v>
      </c>
      <c r="C54" s="367" t="s">
        <v>518</v>
      </c>
      <c r="D54" s="328"/>
      <c r="E54" s="329"/>
      <c r="F54" s="64" t="s">
        <v>15</v>
      </c>
      <c r="G54" s="65">
        <v>40057</v>
      </c>
      <c r="H54" s="251" t="s">
        <v>519</v>
      </c>
      <c r="I54" s="252">
        <v>2500</v>
      </c>
      <c r="J54" s="248">
        <f t="shared" si="0"/>
        <v>2500</v>
      </c>
      <c r="K54" s="46" t="s">
        <v>41</v>
      </c>
      <c r="L54" s="21"/>
      <c r="M54" s="21"/>
      <c r="N54" s="21"/>
      <c r="O54" s="21"/>
      <c r="P54" s="21"/>
      <c r="Q54" s="21"/>
      <c r="R54" s="21"/>
    </row>
    <row r="55" spans="1:18" ht="16.5" customHeight="1" outlineLevel="1" x14ac:dyDescent="0.3">
      <c r="A55" s="64">
        <v>1</v>
      </c>
      <c r="B55" s="64" t="s">
        <v>13</v>
      </c>
      <c r="C55" s="367" t="s">
        <v>520</v>
      </c>
      <c r="D55" s="328"/>
      <c r="E55" s="329"/>
      <c r="F55" s="64" t="s">
        <v>15</v>
      </c>
      <c r="G55" s="71" t="s">
        <v>521</v>
      </c>
      <c r="H55" s="251" t="s">
        <v>522</v>
      </c>
      <c r="I55" s="252">
        <v>1800</v>
      </c>
      <c r="J55" s="248">
        <f t="shared" si="0"/>
        <v>1800</v>
      </c>
      <c r="K55" s="46" t="s">
        <v>41</v>
      </c>
      <c r="L55" s="21"/>
      <c r="M55" s="21"/>
      <c r="N55" s="21"/>
      <c r="O55" s="21"/>
      <c r="P55" s="21"/>
      <c r="Q55" s="21"/>
      <c r="R55" s="21"/>
    </row>
    <row r="56" spans="1:18" ht="16.5" customHeight="1" outlineLevel="1" x14ac:dyDescent="0.3">
      <c r="A56" s="64">
        <v>1</v>
      </c>
      <c r="B56" s="64" t="s">
        <v>13</v>
      </c>
      <c r="C56" s="367" t="s">
        <v>523</v>
      </c>
      <c r="D56" s="328"/>
      <c r="E56" s="329"/>
      <c r="F56" s="64" t="s">
        <v>15</v>
      </c>
      <c r="G56" s="71" t="s">
        <v>83</v>
      </c>
      <c r="H56" s="251" t="s">
        <v>524</v>
      </c>
      <c r="I56" s="252">
        <v>1800</v>
      </c>
      <c r="J56" s="248">
        <f t="shared" si="0"/>
        <v>1800</v>
      </c>
      <c r="K56" s="46" t="s">
        <v>41</v>
      </c>
      <c r="L56" s="21"/>
      <c r="M56" s="21"/>
      <c r="N56" s="21"/>
      <c r="O56" s="21"/>
      <c r="P56" s="21"/>
      <c r="Q56" s="21"/>
      <c r="R56" s="21"/>
    </row>
    <row r="57" spans="1:18" ht="16.5" customHeight="1" outlineLevel="1" x14ac:dyDescent="0.3">
      <c r="A57" s="64">
        <v>1</v>
      </c>
      <c r="B57" s="64" t="s">
        <v>13</v>
      </c>
      <c r="C57" s="367" t="s">
        <v>525</v>
      </c>
      <c r="D57" s="328"/>
      <c r="E57" s="329"/>
      <c r="F57" s="64" t="s">
        <v>15</v>
      </c>
      <c r="G57" s="65">
        <v>38231</v>
      </c>
      <c r="H57" s="251" t="s">
        <v>526</v>
      </c>
      <c r="I57" s="257">
        <v>16000</v>
      </c>
      <c r="J57" s="248">
        <f t="shared" si="0"/>
        <v>16000</v>
      </c>
      <c r="K57" s="46" t="s">
        <v>41</v>
      </c>
      <c r="L57" s="21"/>
      <c r="M57" s="21"/>
      <c r="N57" s="21"/>
      <c r="O57" s="21"/>
      <c r="P57" s="21"/>
      <c r="Q57" s="21"/>
      <c r="R57" s="21"/>
    </row>
    <row r="58" spans="1:18" ht="16.5" customHeight="1" outlineLevel="1" x14ac:dyDescent="0.3">
      <c r="A58" s="64">
        <v>1</v>
      </c>
      <c r="B58" s="64" t="s">
        <v>22</v>
      </c>
      <c r="C58" s="367" t="s">
        <v>457</v>
      </c>
      <c r="D58" s="328"/>
      <c r="E58" s="329"/>
      <c r="F58" s="64" t="s">
        <v>15</v>
      </c>
      <c r="G58" s="71" t="s">
        <v>527</v>
      </c>
      <c r="H58" s="251" t="s">
        <v>528</v>
      </c>
      <c r="I58" s="252">
        <v>28500</v>
      </c>
      <c r="J58" s="248">
        <f t="shared" si="0"/>
        <v>28500</v>
      </c>
      <c r="K58" s="46" t="s">
        <v>41</v>
      </c>
      <c r="L58" s="21"/>
      <c r="M58" s="21"/>
      <c r="N58" s="21"/>
      <c r="O58" s="21"/>
      <c r="P58" s="21"/>
      <c r="Q58" s="21"/>
      <c r="R58" s="21"/>
    </row>
    <row r="59" spans="1:18" ht="16.5" customHeight="1" outlineLevel="1" x14ac:dyDescent="0.3">
      <c r="A59" s="64">
        <v>1</v>
      </c>
      <c r="B59" s="64" t="s">
        <v>13</v>
      </c>
      <c r="C59" s="367" t="s">
        <v>529</v>
      </c>
      <c r="D59" s="328"/>
      <c r="E59" s="329"/>
      <c r="F59" s="64" t="s">
        <v>15</v>
      </c>
      <c r="G59" s="71" t="s">
        <v>231</v>
      </c>
      <c r="H59" s="251" t="s">
        <v>530</v>
      </c>
      <c r="I59" s="252">
        <v>1750</v>
      </c>
      <c r="J59" s="248">
        <f t="shared" si="0"/>
        <v>1750</v>
      </c>
      <c r="K59" s="46" t="s">
        <v>41</v>
      </c>
      <c r="L59" s="21"/>
      <c r="M59" s="21"/>
      <c r="N59" s="21"/>
      <c r="O59" s="21"/>
      <c r="P59" s="21"/>
      <c r="Q59" s="21"/>
      <c r="R59" s="21"/>
    </row>
    <row r="60" spans="1:18" ht="16.5" customHeight="1" outlineLevel="1" x14ac:dyDescent="0.3">
      <c r="A60" s="64">
        <v>1</v>
      </c>
      <c r="B60" s="64" t="s">
        <v>13</v>
      </c>
      <c r="C60" s="367" t="s">
        <v>531</v>
      </c>
      <c r="D60" s="328"/>
      <c r="E60" s="329"/>
      <c r="F60" s="64" t="s">
        <v>15</v>
      </c>
      <c r="G60" s="65">
        <v>41244</v>
      </c>
      <c r="H60" s="251" t="s">
        <v>532</v>
      </c>
      <c r="I60" s="252">
        <v>7000</v>
      </c>
      <c r="J60" s="248">
        <f t="shared" si="0"/>
        <v>7000</v>
      </c>
      <c r="K60" s="46" t="s">
        <v>41</v>
      </c>
      <c r="L60" s="21"/>
      <c r="M60" s="21"/>
      <c r="N60" s="21"/>
      <c r="O60" s="21"/>
      <c r="P60" s="21"/>
      <c r="Q60" s="21"/>
      <c r="R60" s="21"/>
    </row>
    <row r="61" spans="1:18" ht="16.5" customHeight="1" outlineLevel="1" x14ac:dyDescent="0.3">
      <c r="A61" s="64">
        <v>1</v>
      </c>
      <c r="B61" s="64" t="s">
        <v>13</v>
      </c>
      <c r="C61" s="367" t="s">
        <v>533</v>
      </c>
      <c r="D61" s="328"/>
      <c r="E61" s="329"/>
      <c r="F61" s="64" t="s">
        <v>15</v>
      </c>
      <c r="G61" s="65">
        <v>38108</v>
      </c>
      <c r="H61" s="251" t="s">
        <v>534</v>
      </c>
      <c r="I61" s="252">
        <v>17500</v>
      </c>
      <c r="J61" s="248">
        <f t="shared" si="0"/>
        <v>17500</v>
      </c>
      <c r="K61" s="46" t="s">
        <v>41</v>
      </c>
      <c r="L61" s="21"/>
      <c r="M61" s="21"/>
      <c r="N61" s="21"/>
      <c r="O61" s="21"/>
      <c r="P61" s="21"/>
      <c r="Q61" s="21"/>
      <c r="R61" s="21"/>
    </row>
    <row r="62" spans="1:18" ht="16.5" customHeight="1" outlineLevel="1" x14ac:dyDescent="0.3">
      <c r="A62" s="64">
        <v>1</v>
      </c>
      <c r="B62" s="64" t="s">
        <v>13</v>
      </c>
      <c r="C62" s="367" t="s">
        <v>535</v>
      </c>
      <c r="D62" s="328"/>
      <c r="E62" s="329"/>
      <c r="F62" s="64" t="s">
        <v>15</v>
      </c>
      <c r="G62" s="65">
        <v>40787</v>
      </c>
      <c r="H62" s="251" t="s">
        <v>536</v>
      </c>
      <c r="I62" s="252">
        <v>11500</v>
      </c>
      <c r="J62" s="248">
        <f t="shared" si="0"/>
        <v>11500</v>
      </c>
      <c r="K62" s="46" t="s">
        <v>41</v>
      </c>
      <c r="L62" s="21"/>
      <c r="M62" s="21"/>
      <c r="N62" s="21"/>
      <c r="O62" s="21"/>
      <c r="P62" s="21"/>
      <c r="Q62" s="21"/>
      <c r="R62" s="21"/>
    </row>
    <row r="63" spans="1:18" ht="16.5" customHeight="1" outlineLevel="1" x14ac:dyDescent="0.3">
      <c r="A63" s="64">
        <v>1</v>
      </c>
      <c r="B63" s="64" t="s">
        <v>13</v>
      </c>
      <c r="C63" s="367" t="s">
        <v>537</v>
      </c>
      <c r="D63" s="328"/>
      <c r="E63" s="329"/>
      <c r="F63" s="64" t="s">
        <v>15</v>
      </c>
      <c r="G63" s="65">
        <v>38961</v>
      </c>
      <c r="H63" s="251" t="s">
        <v>538</v>
      </c>
      <c r="I63" s="252">
        <v>2000</v>
      </c>
      <c r="J63" s="248">
        <f t="shared" si="0"/>
        <v>2000</v>
      </c>
      <c r="K63" s="46" t="s">
        <v>41</v>
      </c>
      <c r="L63" s="21"/>
      <c r="M63" s="21"/>
      <c r="N63" s="21"/>
      <c r="O63" s="21"/>
      <c r="P63" s="21"/>
      <c r="Q63" s="21"/>
      <c r="R63" s="21"/>
    </row>
    <row r="64" spans="1:18" ht="14.25" customHeight="1" outlineLevel="1" x14ac:dyDescent="0.3">
      <c r="A64" s="64">
        <v>1</v>
      </c>
      <c r="B64" s="64" t="s">
        <v>13</v>
      </c>
      <c r="C64" s="258" t="s">
        <v>539</v>
      </c>
      <c r="D64" s="258"/>
      <c r="E64" s="258"/>
      <c r="F64" s="64" t="s">
        <v>15</v>
      </c>
      <c r="G64" s="65">
        <v>40148</v>
      </c>
      <c r="H64" s="251" t="s">
        <v>540</v>
      </c>
      <c r="I64" s="257">
        <v>43250</v>
      </c>
      <c r="J64" s="248">
        <f t="shared" si="0"/>
        <v>43250</v>
      </c>
      <c r="K64" s="46" t="s">
        <v>67</v>
      </c>
      <c r="L64" s="21"/>
      <c r="M64" s="21"/>
      <c r="N64" s="21"/>
      <c r="O64" s="21"/>
      <c r="P64" s="21"/>
      <c r="Q64" s="21"/>
      <c r="R64" s="21"/>
    </row>
    <row r="65" spans="1:18" ht="14.25" customHeight="1" outlineLevel="1" x14ac:dyDescent="0.3">
      <c r="A65" s="64">
        <v>1</v>
      </c>
      <c r="B65" s="64" t="s">
        <v>13</v>
      </c>
      <c r="C65" s="367" t="s">
        <v>541</v>
      </c>
      <c r="D65" s="328"/>
      <c r="E65" s="329"/>
      <c r="F65" s="64" t="s">
        <v>15</v>
      </c>
      <c r="G65" s="65">
        <v>40695</v>
      </c>
      <c r="H65" s="251" t="s">
        <v>542</v>
      </c>
      <c r="I65" s="257">
        <v>26595</v>
      </c>
      <c r="J65" s="248">
        <f t="shared" si="0"/>
        <v>26595</v>
      </c>
      <c r="K65" s="46" t="s">
        <v>67</v>
      </c>
      <c r="L65" s="21"/>
      <c r="M65" s="21"/>
      <c r="N65" s="21"/>
      <c r="O65" s="21"/>
      <c r="P65" s="21"/>
      <c r="Q65" s="21"/>
      <c r="R65" s="21"/>
    </row>
    <row r="66" spans="1:18" ht="14.25" customHeight="1" outlineLevel="1" x14ac:dyDescent="0.3">
      <c r="A66" s="64">
        <v>1</v>
      </c>
      <c r="B66" s="64" t="s">
        <v>13</v>
      </c>
      <c r="C66" s="367" t="s">
        <v>543</v>
      </c>
      <c r="D66" s="328"/>
      <c r="E66" s="329"/>
      <c r="F66" s="64" t="s">
        <v>15</v>
      </c>
      <c r="G66" s="71" t="s">
        <v>172</v>
      </c>
      <c r="H66" s="251" t="s">
        <v>544</v>
      </c>
      <c r="I66" s="252">
        <v>0</v>
      </c>
      <c r="J66" s="248">
        <f t="shared" si="0"/>
        <v>0</v>
      </c>
      <c r="K66" s="46" t="s">
        <v>67</v>
      </c>
      <c r="L66" s="21"/>
      <c r="M66" s="21"/>
      <c r="N66" s="21"/>
      <c r="O66" s="21"/>
      <c r="P66" s="21"/>
      <c r="Q66" s="21"/>
      <c r="R66" s="21"/>
    </row>
    <row r="67" spans="1:18" ht="14.25" customHeight="1" outlineLevel="1" x14ac:dyDescent="0.3">
      <c r="A67" s="64">
        <v>1</v>
      </c>
      <c r="B67" s="64" t="s">
        <v>13</v>
      </c>
      <c r="C67" s="367" t="s">
        <v>545</v>
      </c>
      <c r="D67" s="328"/>
      <c r="E67" s="329"/>
      <c r="F67" s="64" t="s">
        <v>15</v>
      </c>
      <c r="G67" s="71" t="s">
        <v>260</v>
      </c>
      <c r="H67" s="251" t="s">
        <v>546</v>
      </c>
      <c r="I67" s="257">
        <v>25950</v>
      </c>
      <c r="J67" s="248">
        <f t="shared" si="0"/>
        <v>25950</v>
      </c>
      <c r="K67" s="46" t="s">
        <v>67</v>
      </c>
      <c r="L67" s="21"/>
      <c r="M67" s="21"/>
      <c r="N67" s="21"/>
      <c r="O67" s="21"/>
      <c r="P67" s="21"/>
      <c r="Q67" s="21"/>
      <c r="R67" s="21"/>
    </row>
    <row r="68" spans="1:18" ht="14.25" customHeight="1" outlineLevel="1" x14ac:dyDescent="0.3">
      <c r="A68" s="64">
        <v>1</v>
      </c>
      <c r="B68" s="64" t="s">
        <v>13</v>
      </c>
      <c r="C68" s="367" t="s">
        <v>547</v>
      </c>
      <c r="D68" s="328"/>
      <c r="E68" s="329"/>
      <c r="F68" s="64" t="s">
        <v>15</v>
      </c>
      <c r="G68" s="65">
        <v>41609</v>
      </c>
      <c r="H68" s="251" t="s">
        <v>548</v>
      </c>
      <c r="I68" s="252">
        <v>28600</v>
      </c>
      <c r="J68" s="248">
        <f t="shared" si="0"/>
        <v>28600</v>
      </c>
      <c r="K68" s="46" t="s">
        <v>67</v>
      </c>
      <c r="L68" s="21"/>
      <c r="M68" s="21"/>
      <c r="N68" s="21"/>
      <c r="O68" s="21"/>
      <c r="P68" s="21"/>
      <c r="Q68" s="21"/>
      <c r="R68" s="21"/>
    </row>
    <row r="69" spans="1:18" ht="14.25" customHeight="1" outlineLevel="1" x14ac:dyDescent="0.3">
      <c r="A69" s="64">
        <v>1</v>
      </c>
      <c r="B69" s="64" t="s">
        <v>13</v>
      </c>
      <c r="C69" s="367" t="s">
        <v>549</v>
      </c>
      <c r="D69" s="328"/>
      <c r="E69" s="329"/>
      <c r="F69" s="64" t="s">
        <v>15</v>
      </c>
      <c r="G69" s="71" t="s">
        <v>521</v>
      </c>
      <c r="H69" s="251" t="s">
        <v>550</v>
      </c>
      <c r="I69" s="252">
        <v>0</v>
      </c>
      <c r="J69" s="248">
        <f t="shared" si="0"/>
        <v>0</v>
      </c>
      <c r="K69" s="46" t="s">
        <v>67</v>
      </c>
      <c r="L69" s="21"/>
      <c r="M69" s="21"/>
      <c r="N69" s="21"/>
      <c r="O69" s="21"/>
      <c r="P69" s="21"/>
      <c r="Q69" s="21"/>
      <c r="R69" s="21"/>
    </row>
    <row r="70" spans="1:18" ht="14.25" customHeight="1" outlineLevel="1" x14ac:dyDescent="0.3">
      <c r="A70" s="64">
        <v>7</v>
      </c>
      <c r="B70" s="64" t="s">
        <v>18</v>
      </c>
      <c r="C70" s="367" t="s">
        <v>551</v>
      </c>
      <c r="D70" s="328"/>
      <c r="E70" s="329"/>
      <c r="F70" s="64" t="s">
        <v>15</v>
      </c>
      <c r="G70" s="71" t="s">
        <v>521</v>
      </c>
      <c r="H70" s="251" t="s">
        <v>552</v>
      </c>
      <c r="I70" s="257">
        <v>1000</v>
      </c>
      <c r="J70" s="248">
        <f t="shared" si="0"/>
        <v>7000</v>
      </c>
      <c r="K70" s="46" t="s">
        <v>67</v>
      </c>
      <c r="L70" s="21"/>
      <c r="M70" s="21"/>
      <c r="N70" s="21"/>
      <c r="O70" s="21"/>
      <c r="P70" s="21"/>
      <c r="Q70" s="21"/>
      <c r="R70" s="21"/>
    </row>
    <row r="71" spans="1:18" ht="16.5" customHeight="1" outlineLevel="1" x14ac:dyDescent="0.3">
      <c r="A71" s="64">
        <v>2</v>
      </c>
      <c r="B71" s="64" t="s">
        <v>18</v>
      </c>
      <c r="C71" s="367" t="s">
        <v>553</v>
      </c>
      <c r="D71" s="328"/>
      <c r="E71" s="329"/>
      <c r="F71" s="64" t="s">
        <v>15</v>
      </c>
      <c r="G71" s="65">
        <v>40057</v>
      </c>
      <c r="H71" s="251" t="s">
        <v>554</v>
      </c>
      <c r="I71" s="257">
        <v>1850</v>
      </c>
      <c r="J71" s="248">
        <f t="shared" si="0"/>
        <v>3700</v>
      </c>
      <c r="K71" s="46" t="s">
        <v>225</v>
      </c>
      <c r="L71" s="58"/>
      <c r="M71" s="58"/>
      <c r="N71" s="58"/>
      <c r="O71" s="58"/>
      <c r="P71" s="58"/>
      <c r="Q71" s="58"/>
      <c r="R71" s="58"/>
    </row>
    <row r="72" spans="1:18" ht="14.25" customHeight="1" outlineLevel="1" x14ac:dyDescent="0.3">
      <c r="A72" s="64">
        <v>1</v>
      </c>
      <c r="B72" s="64" t="s">
        <v>13</v>
      </c>
      <c r="C72" s="367" t="s">
        <v>555</v>
      </c>
      <c r="D72" s="328"/>
      <c r="E72" s="329"/>
      <c r="F72" s="64" t="s">
        <v>15</v>
      </c>
      <c r="G72" s="71" t="s">
        <v>521</v>
      </c>
      <c r="H72" s="251" t="s">
        <v>556</v>
      </c>
      <c r="I72" s="252">
        <v>3000</v>
      </c>
      <c r="J72" s="248">
        <f t="shared" si="0"/>
        <v>3000</v>
      </c>
      <c r="K72" s="46" t="s">
        <v>67</v>
      </c>
      <c r="L72" s="21"/>
      <c r="M72" s="21"/>
      <c r="N72" s="21"/>
      <c r="O72" s="21"/>
      <c r="P72" s="21"/>
      <c r="Q72" s="21"/>
      <c r="R72" s="21"/>
    </row>
    <row r="73" spans="1:18" ht="16.5" customHeight="1" outlineLevel="1" x14ac:dyDescent="0.3">
      <c r="A73" s="64">
        <v>1</v>
      </c>
      <c r="B73" s="64" t="s">
        <v>13</v>
      </c>
      <c r="C73" s="367" t="s">
        <v>439</v>
      </c>
      <c r="D73" s="328"/>
      <c r="E73" s="329"/>
      <c r="F73" s="64" t="s">
        <v>15</v>
      </c>
      <c r="G73" s="65">
        <v>38869</v>
      </c>
      <c r="H73" s="251" t="s">
        <v>557</v>
      </c>
      <c r="I73" s="257">
        <v>28900</v>
      </c>
      <c r="J73" s="248">
        <f t="shared" si="0"/>
        <v>28900</v>
      </c>
      <c r="K73" s="46" t="s">
        <v>63</v>
      </c>
      <c r="L73" s="21"/>
      <c r="M73" s="21"/>
      <c r="N73" s="21"/>
      <c r="O73" s="21"/>
      <c r="P73" s="21"/>
      <c r="Q73" s="21"/>
      <c r="R73" s="21"/>
    </row>
    <row r="74" spans="1:18" ht="16.5" customHeight="1" outlineLevel="1" x14ac:dyDescent="0.3">
      <c r="A74" s="64">
        <v>1</v>
      </c>
      <c r="B74" s="64" t="s">
        <v>13</v>
      </c>
      <c r="C74" s="367" t="s">
        <v>512</v>
      </c>
      <c r="D74" s="328"/>
      <c r="E74" s="329"/>
      <c r="F74" s="64" t="s">
        <v>15</v>
      </c>
      <c r="G74" s="65">
        <v>40148</v>
      </c>
      <c r="H74" s="251" t="s">
        <v>558</v>
      </c>
      <c r="I74" s="252">
        <v>43250</v>
      </c>
      <c r="J74" s="248">
        <f t="shared" si="0"/>
        <v>43250</v>
      </c>
      <c r="K74" s="46" t="s">
        <v>63</v>
      </c>
      <c r="L74" s="21"/>
      <c r="M74" s="21"/>
      <c r="N74" s="21"/>
      <c r="O74" s="21"/>
      <c r="P74" s="21"/>
      <c r="Q74" s="21"/>
      <c r="R74" s="21"/>
    </row>
    <row r="75" spans="1:18" ht="16.5" customHeight="1" outlineLevel="1" x14ac:dyDescent="0.3">
      <c r="A75" s="64">
        <v>2</v>
      </c>
      <c r="B75" s="64" t="s">
        <v>18</v>
      </c>
      <c r="C75" s="367" t="s">
        <v>559</v>
      </c>
      <c r="D75" s="328"/>
      <c r="E75" s="329"/>
      <c r="F75" s="64" t="s">
        <v>15</v>
      </c>
      <c r="G75" s="65">
        <v>38473</v>
      </c>
      <c r="H75" s="251" t="s">
        <v>560</v>
      </c>
      <c r="I75" s="252">
        <v>11750</v>
      </c>
      <c r="J75" s="248">
        <f t="shared" si="0"/>
        <v>23500</v>
      </c>
      <c r="K75" s="46" t="s">
        <v>225</v>
      </c>
      <c r="L75" s="58"/>
      <c r="M75" s="58"/>
      <c r="N75" s="58"/>
      <c r="O75" s="58"/>
      <c r="P75" s="58"/>
      <c r="Q75" s="58"/>
      <c r="R75" s="58"/>
    </row>
    <row r="76" spans="1:18" ht="14.25" customHeight="1" outlineLevel="1" x14ac:dyDescent="0.3">
      <c r="A76" s="64">
        <v>1</v>
      </c>
      <c r="B76" s="64" t="s">
        <v>13</v>
      </c>
      <c r="C76" s="258" t="s">
        <v>561</v>
      </c>
      <c r="D76" s="258"/>
      <c r="E76" s="258"/>
      <c r="F76" s="64" t="s">
        <v>15</v>
      </c>
      <c r="G76" s="65"/>
      <c r="H76" s="251" t="s">
        <v>562</v>
      </c>
      <c r="I76" s="252"/>
      <c r="J76" s="248">
        <f t="shared" si="0"/>
        <v>0</v>
      </c>
      <c r="K76" s="46" t="s">
        <v>67</v>
      </c>
      <c r="L76" s="21"/>
      <c r="M76" s="21"/>
      <c r="N76" s="21"/>
      <c r="O76" s="21"/>
      <c r="P76" s="21"/>
      <c r="Q76" s="21"/>
      <c r="R76" s="21"/>
    </row>
    <row r="77" spans="1:18" ht="14.25" customHeight="1" outlineLevel="1" x14ac:dyDescent="0.3">
      <c r="A77" s="64">
        <v>1</v>
      </c>
      <c r="B77" s="64" t="s">
        <v>13</v>
      </c>
      <c r="C77" s="258" t="s">
        <v>563</v>
      </c>
      <c r="D77" s="258"/>
      <c r="E77" s="258"/>
      <c r="F77" s="64" t="s">
        <v>15</v>
      </c>
      <c r="G77" s="65"/>
      <c r="H77" s="251" t="s">
        <v>564</v>
      </c>
      <c r="I77" s="252"/>
      <c r="J77" s="248">
        <f t="shared" si="0"/>
        <v>0</v>
      </c>
      <c r="K77" s="46" t="s">
        <v>67</v>
      </c>
      <c r="L77" s="21"/>
      <c r="M77" s="21"/>
      <c r="N77" s="21"/>
      <c r="O77" s="21"/>
      <c r="P77" s="21"/>
      <c r="Q77" s="21"/>
      <c r="R77" s="21"/>
    </row>
    <row r="78" spans="1:18" ht="14.25" customHeight="1" outlineLevel="1" x14ac:dyDescent="0.3">
      <c r="A78" s="64">
        <v>1</v>
      </c>
      <c r="B78" s="64" t="s">
        <v>13</v>
      </c>
      <c r="C78" s="258" t="s">
        <v>565</v>
      </c>
      <c r="D78" s="258"/>
      <c r="E78" s="258"/>
      <c r="F78" s="64" t="s">
        <v>15</v>
      </c>
      <c r="G78" s="65"/>
      <c r="H78" s="251" t="s">
        <v>566</v>
      </c>
      <c r="I78" s="252"/>
      <c r="J78" s="248">
        <f t="shared" si="0"/>
        <v>0</v>
      </c>
      <c r="K78" s="46" t="s">
        <v>67</v>
      </c>
      <c r="L78" s="21"/>
      <c r="M78" s="21"/>
      <c r="N78" s="21"/>
      <c r="O78" s="21"/>
      <c r="P78" s="21"/>
      <c r="Q78" s="21"/>
      <c r="R78" s="21"/>
    </row>
    <row r="79" spans="1:18" ht="14.25" customHeight="1" outlineLevel="1" x14ac:dyDescent="0.3">
      <c r="A79" s="64">
        <v>1</v>
      </c>
      <c r="B79" s="64" t="s">
        <v>13</v>
      </c>
      <c r="C79" s="367" t="s">
        <v>567</v>
      </c>
      <c r="D79" s="328"/>
      <c r="E79" s="329"/>
      <c r="F79" s="64" t="s">
        <v>15</v>
      </c>
      <c r="G79" s="65"/>
      <c r="H79" s="251" t="s">
        <v>568</v>
      </c>
      <c r="I79" s="252"/>
      <c r="J79" s="248">
        <f t="shared" si="0"/>
        <v>0</v>
      </c>
      <c r="K79" s="46" t="s">
        <v>67</v>
      </c>
      <c r="L79" s="21"/>
      <c r="M79" s="21"/>
      <c r="N79" s="21"/>
      <c r="O79" s="21"/>
      <c r="P79" s="21"/>
      <c r="Q79" s="21"/>
      <c r="R79" s="21"/>
    </row>
    <row r="80" spans="1:18" ht="14.25" customHeight="1" outlineLevel="1" x14ac:dyDescent="0.3">
      <c r="A80" s="64">
        <v>1</v>
      </c>
      <c r="B80" s="64" t="s">
        <v>13</v>
      </c>
      <c r="C80" s="258" t="s">
        <v>569</v>
      </c>
      <c r="D80" s="258"/>
      <c r="E80" s="258"/>
      <c r="F80" s="64" t="s">
        <v>15</v>
      </c>
      <c r="G80" s="71" t="s">
        <v>71</v>
      </c>
      <c r="H80" s="251" t="s">
        <v>570</v>
      </c>
      <c r="I80" s="252">
        <v>9800</v>
      </c>
      <c r="J80" s="248">
        <f t="shared" si="0"/>
        <v>9800</v>
      </c>
      <c r="K80" s="46" t="s">
        <v>67</v>
      </c>
      <c r="L80" s="21"/>
      <c r="M80" s="21"/>
      <c r="N80" s="21"/>
      <c r="O80" s="21"/>
      <c r="P80" s="21"/>
      <c r="Q80" s="21"/>
      <c r="R80" s="21"/>
    </row>
    <row r="81" spans="1:18" ht="16.5" customHeight="1" x14ac:dyDescent="0.3">
      <c r="A81" s="366" t="s">
        <v>89</v>
      </c>
      <c r="B81" s="331"/>
      <c r="C81" s="331"/>
      <c r="D81" s="331"/>
      <c r="E81" s="331"/>
      <c r="F81" s="331"/>
      <c r="G81" s="331"/>
      <c r="H81" s="331"/>
      <c r="I81" s="332"/>
      <c r="J81" s="260">
        <f>SUM(J11:J80)</f>
        <v>1391459.2</v>
      </c>
      <c r="K81" s="261"/>
      <c r="L81" s="58"/>
      <c r="M81" s="58"/>
      <c r="N81" s="58"/>
      <c r="O81" s="58"/>
      <c r="P81" s="58"/>
      <c r="Q81" s="58"/>
      <c r="R81" s="58"/>
    </row>
    <row r="82" spans="1:18" ht="14.25" customHeight="1" outlineLevel="1" x14ac:dyDescent="0.3">
      <c r="A82" s="28">
        <v>1</v>
      </c>
      <c r="B82" s="28" t="s">
        <v>103</v>
      </c>
      <c r="C82" s="370" t="s">
        <v>571</v>
      </c>
      <c r="D82" s="328"/>
      <c r="E82" s="329"/>
      <c r="F82" s="28" t="s">
        <v>91</v>
      </c>
      <c r="G82" s="262" t="s">
        <v>485</v>
      </c>
      <c r="H82" s="28" t="s">
        <v>572</v>
      </c>
      <c r="I82" s="256">
        <v>5000</v>
      </c>
      <c r="J82" s="256">
        <f t="shared" ref="J82:J112" si="1">A82*I82</f>
        <v>5000</v>
      </c>
      <c r="K82" s="249" t="s">
        <v>17</v>
      </c>
      <c r="L82" s="58"/>
      <c r="M82" s="58"/>
      <c r="N82" s="58"/>
      <c r="O82" s="58"/>
      <c r="P82" s="58"/>
      <c r="Q82" s="58"/>
      <c r="R82" s="58"/>
    </row>
    <row r="83" spans="1:18" ht="14.25" customHeight="1" outlineLevel="1" x14ac:dyDescent="0.3">
      <c r="A83" s="28">
        <v>1</v>
      </c>
      <c r="B83" s="28" t="s">
        <v>103</v>
      </c>
      <c r="C83" s="370" t="s">
        <v>573</v>
      </c>
      <c r="D83" s="328"/>
      <c r="E83" s="329"/>
      <c r="F83" s="28" t="s">
        <v>91</v>
      </c>
      <c r="G83" s="263">
        <v>40787</v>
      </c>
      <c r="H83" s="28" t="s">
        <v>574</v>
      </c>
      <c r="I83" s="256">
        <v>5600</v>
      </c>
      <c r="J83" s="256">
        <f t="shared" si="1"/>
        <v>5600</v>
      </c>
      <c r="K83" s="249" t="s">
        <v>17</v>
      </c>
      <c r="L83" s="58"/>
      <c r="M83" s="58"/>
      <c r="N83" s="58"/>
      <c r="O83" s="58"/>
      <c r="P83" s="58"/>
      <c r="Q83" s="58"/>
      <c r="R83" s="58"/>
    </row>
    <row r="84" spans="1:18" ht="14.25" customHeight="1" outlineLevel="1" x14ac:dyDescent="0.3">
      <c r="A84" s="28">
        <v>1</v>
      </c>
      <c r="B84" s="28" t="s">
        <v>103</v>
      </c>
      <c r="C84" s="370" t="s">
        <v>575</v>
      </c>
      <c r="D84" s="328"/>
      <c r="E84" s="329"/>
      <c r="F84" s="247" t="s">
        <v>91</v>
      </c>
      <c r="G84" s="263">
        <v>2011</v>
      </c>
      <c r="H84" s="28" t="s">
        <v>576</v>
      </c>
      <c r="I84" s="256">
        <v>10000</v>
      </c>
      <c r="J84" s="256">
        <f t="shared" si="1"/>
        <v>10000</v>
      </c>
      <c r="K84" s="249" t="s">
        <v>17</v>
      </c>
      <c r="L84" s="58"/>
      <c r="M84" s="58"/>
      <c r="N84" s="58"/>
      <c r="O84" s="58"/>
      <c r="P84" s="58"/>
      <c r="Q84" s="58"/>
      <c r="R84" s="58"/>
    </row>
    <row r="85" spans="1:18" ht="14.25" customHeight="1" outlineLevel="1" x14ac:dyDescent="0.3">
      <c r="A85" s="64">
        <v>1</v>
      </c>
      <c r="B85" s="64" t="s">
        <v>103</v>
      </c>
      <c r="C85" s="367" t="s">
        <v>577</v>
      </c>
      <c r="D85" s="328"/>
      <c r="E85" s="329"/>
      <c r="F85" s="64" t="s">
        <v>91</v>
      </c>
      <c r="G85" s="64">
        <v>2008</v>
      </c>
      <c r="H85" s="251" t="s">
        <v>578</v>
      </c>
      <c r="I85" s="257">
        <v>4000</v>
      </c>
      <c r="J85" s="256">
        <f t="shared" si="1"/>
        <v>4000</v>
      </c>
      <c r="K85" s="253" t="s">
        <v>21</v>
      </c>
      <c r="L85" s="21"/>
      <c r="M85" s="21"/>
      <c r="N85" s="21"/>
      <c r="O85" s="21"/>
      <c r="P85" s="21"/>
      <c r="Q85" s="21"/>
      <c r="R85" s="21"/>
    </row>
    <row r="86" spans="1:18" ht="14.25" customHeight="1" outlineLevel="1" x14ac:dyDescent="0.3">
      <c r="A86" s="64">
        <v>6</v>
      </c>
      <c r="B86" s="64" t="s">
        <v>108</v>
      </c>
      <c r="C86" s="367" t="s">
        <v>579</v>
      </c>
      <c r="D86" s="328"/>
      <c r="E86" s="329"/>
      <c r="F86" s="64" t="s">
        <v>91</v>
      </c>
      <c r="G86" s="71" t="s">
        <v>580</v>
      </c>
      <c r="H86" s="251" t="s">
        <v>581</v>
      </c>
      <c r="I86" s="252">
        <v>0</v>
      </c>
      <c r="J86" s="256">
        <f t="shared" si="1"/>
        <v>0</v>
      </c>
      <c r="K86" s="253" t="s">
        <v>21</v>
      </c>
      <c r="L86" s="21"/>
      <c r="M86" s="21"/>
      <c r="N86" s="21"/>
      <c r="O86" s="21"/>
      <c r="P86" s="21"/>
      <c r="Q86" s="21"/>
      <c r="R86" s="21"/>
    </row>
    <row r="87" spans="1:18" ht="14.25" customHeight="1" outlineLevel="1" x14ac:dyDescent="0.3">
      <c r="A87" s="64">
        <v>1</v>
      </c>
      <c r="B87" s="64" t="s">
        <v>103</v>
      </c>
      <c r="C87" s="367" t="s">
        <v>575</v>
      </c>
      <c r="D87" s="328"/>
      <c r="E87" s="329"/>
      <c r="F87" s="64" t="s">
        <v>91</v>
      </c>
      <c r="G87" s="64">
        <v>2008</v>
      </c>
      <c r="H87" s="251" t="s">
        <v>582</v>
      </c>
      <c r="I87" s="257">
        <v>7000</v>
      </c>
      <c r="J87" s="256">
        <f t="shared" si="1"/>
        <v>7000</v>
      </c>
      <c r="K87" s="253" t="s">
        <v>21</v>
      </c>
      <c r="L87" s="21"/>
      <c r="M87" s="21"/>
      <c r="N87" s="21"/>
      <c r="O87" s="21"/>
      <c r="P87" s="21"/>
      <c r="Q87" s="21"/>
      <c r="R87" s="21"/>
    </row>
    <row r="88" spans="1:18" ht="16.5" customHeight="1" outlineLevel="1" x14ac:dyDescent="0.3">
      <c r="A88" s="17">
        <v>1</v>
      </c>
      <c r="B88" s="17" t="s">
        <v>103</v>
      </c>
      <c r="C88" s="368" t="s">
        <v>583</v>
      </c>
      <c r="D88" s="328"/>
      <c r="E88" s="329"/>
      <c r="F88" s="17" t="s">
        <v>91</v>
      </c>
      <c r="G88" s="24">
        <v>41244</v>
      </c>
      <c r="H88" s="25" t="s">
        <v>584</v>
      </c>
      <c r="I88" s="29">
        <v>15000</v>
      </c>
      <c r="J88" s="256">
        <f t="shared" si="1"/>
        <v>15000</v>
      </c>
      <c r="K88" s="46" t="s">
        <v>25</v>
      </c>
      <c r="L88" s="21"/>
      <c r="M88" s="21"/>
      <c r="N88" s="21"/>
      <c r="O88" s="21"/>
      <c r="P88" s="21"/>
      <c r="Q88" s="21"/>
      <c r="R88" s="21"/>
    </row>
    <row r="89" spans="1:18" ht="16.5" customHeight="1" outlineLevel="1" x14ac:dyDescent="0.3">
      <c r="A89" s="28">
        <v>2</v>
      </c>
      <c r="B89" s="28" t="s">
        <v>103</v>
      </c>
      <c r="C89" s="370" t="s">
        <v>585</v>
      </c>
      <c r="D89" s="328"/>
      <c r="E89" s="329"/>
      <c r="F89" s="28" t="s">
        <v>91</v>
      </c>
      <c r="G89" s="255" t="s">
        <v>442</v>
      </c>
      <c r="H89" s="247" t="s">
        <v>586</v>
      </c>
      <c r="I89" s="256">
        <v>8000</v>
      </c>
      <c r="J89" s="256">
        <f t="shared" si="1"/>
        <v>16000</v>
      </c>
      <c r="K89" s="249" t="s">
        <v>25</v>
      </c>
      <c r="L89" s="21"/>
      <c r="M89" s="21"/>
      <c r="N89" s="21"/>
      <c r="O89" s="21"/>
      <c r="P89" s="21"/>
      <c r="Q89" s="21"/>
      <c r="R89" s="21"/>
    </row>
    <row r="90" spans="1:18" ht="14.25" customHeight="1" outlineLevel="1" x14ac:dyDescent="0.3">
      <c r="A90" s="28">
        <v>1</v>
      </c>
      <c r="B90" s="28" t="s">
        <v>103</v>
      </c>
      <c r="C90" s="370" t="s">
        <v>587</v>
      </c>
      <c r="D90" s="328"/>
      <c r="E90" s="329"/>
      <c r="F90" s="28" t="s">
        <v>91</v>
      </c>
      <c r="G90" s="247" t="s">
        <v>231</v>
      </c>
      <c r="H90" s="247" t="s">
        <v>588</v>
      </c>
      <c r="I90" s="256">
        <v>5000</v>
      </c>
      <c r="J90" s="256">
        <f t="shared" si="1"/>
        <v>5000</v>
      </c>
      <c r="K90" s="249" t="s">
        <v>25</v>
      </c>
      <c r="L90" s="21"/>
      <c r="M90" s="21"/>
      <c r="N90" s="21"/>
      <c r="O90" s="21"/>
      <c r="P90" s="21"/>
      <c r="Q90" s="21"/>
      <c r="R90" s="21"/>
    </row>
    <row r="91" spans="1:18" ht="14.25" customHeight="1" outlineLevel="1" x14ac:dyDescent="0.3">
      <c r="A91" s="28">
        <v>1</v>
      </c>
      <c r="B91" s="28" t="s">
        <v>103</v>
      </c>
      <c r="C91" s="370" t="s">
        <v>589</v>
      </c>
      <c r="D91" s="328"/>
      <c r="E91" s="329"/>
      <c r="F91" s="28" t="s">
        <v>91</v>
      </c>
      <c r="G91" s="247" t="s">
        <v>442</v>
      </c>
      <c r="H91" s="247" t="s">
        <v>590</v>
      </c>
      <c r="I91" s="256">
        <v>3000</v>
      </c>
      <c r="J91" s="256">
        <f t="shared" si="1"/>
        <v>3000</v>
      </c>
      <c r="K91" s="249" t="s">
        <v>25</v>
      </c>
      <c r="L91" s="21"/>
      <c r="M91" s="21"/>
      <c r="N91" s="21"/>
      <c r="O91" s="21"/>
      <c r="P91" s="21"/>
      <c r="Q91" s="21"/>
      <c r="R91" s="21"/>
    </row>
    <row r="92" spans="1:18" ht="14.25" customHeight="1" outlineLevel="1" x14ac:dyDescent="0.3">
      <c r="A92" s="28">
        <v>1</v>
      </c>
      <c r="B92" s="28" t="s">
        <v>103</v>
      </c>
      <c r="C92" s="370" t="s">
        <v>591</v>
      </c>
      <c r="D92" s="328"/>
      <c r="E92" s="329"/>
      <c r="F92" s="28" t="s">
        <v>91</v>
      </c>
      <c r="G92" s="255" t="s">
        <v>260</v>
      </c>
      <c r="H92" s="247" t="s">
        <v>592</v>
      </c>
      <c r="I92" s="256">
        <v>5000</v>
      </c>
      <c r="J92" s="256">
        <f t="shared" si="1"/>
        <v>5000</v>
      </c>
      <c r="K92" s="249" t="s">
        <v>25</v>
      </c>
      <c r="L92" s="21"/>
      <c r="M92" s="21"/>
      <c r="N92" s="21"/>
      <c r="O92" s="21"/>
      <c r="P92" s="21"/>
      <c r="Q92" s="21"/>
      <c r="R92" s="21"/>
    </row>
    <row r="93" spans="1:18" ht="14.25" customHeight="1" outlineLevel="1" x14ac:dyDescent="0.3">
      <c r="A93" s="28">
        <v>1</v>
      </c>
      <c r="B93" s="28" t="s">
        <v>103</v>
      </c>
      <c r="C93" s="370" t="s">
        <v>593</v>
      </c>
      <c r="D93" s="328"/>
      <c r="E93" s="329"/>
      <c r="F93" s="28" t="s">
        <v>91</v>
      </c>
      <c r="G93" s="247" t="s">
        <v>260</v>
      </c>
      <c r="H93" s="247" t="s">
        <v>594</v>
      </c>
      <c r="I93" s="250">
        <v>5000</v>
      </c>
      <c r="J93" s="256">
        <f t="shared" si="1"/>
        <v>5000</v>
      </c>
      <c r="K93" s="249" t="s">
        <v>25</v>
      </c>
      <c r="L93" s="21"/>
      <c r="M93" s="21"/>
      <c r="N93" s="21"/>
      <c r="O93" s="21"/>
      <c r="P93" s="21"/>
      <c r="Q93" s="21"/>
      <c r="R93" s="21"/>
    </row>
    <row r="94" spans="1:18" ht="14.25" customHeight="1" outlineLevel="1" x14ac:dyDescent="0.3">
      <c r="A94" s="64">
        <v>1</v>
      </c>
      <c r="B94" s="64" t="s">
        <v>103</v>
      </c>
      <c r="C94" s="367" t="s">
        <v>595</v>
      </c>
      <c r="D94" s="328"/>
      <c r="E94" s="329"/>
      <c r="F94" s="64" t="s">
        <v>91</v>
      </c>
      <c r="G94" s="54">
        <v>40812</v>
      </c>
      <c r="H94" s="64" t="s">
        <v>596</v>
      </c>
      <c r="I94" s="252">
        <v>5350</v>
      </c>
      <c r="J94" s="256">
        <f t="shared" si="1"/>
        <v>5350</v>
      </c>
      <c r="K94" s="253" t="s">
        <v>153</v>
      </c>
      <c r="L94" s="21"/>
      <c r="M94" s="21"/>
      <c r="N94" s="21"/>
      <c r="O94" s="21"/>
      <c r="P94" s="21"/>
      <c r="Q94" s="21"/>
      <c r="R94" s="21"/>
    </row>
    <row r="95" spans="1:18" ht="16.5" customHeight="1" outlineLevel="1" x14ac:dyDescent="0.3">
      <c r="A95" s="64">
        <v>1</v>
      </c>
      <c r="B95" s="64" t="s">
        <v>103</v>
      </c>
      <c r="C95" s="367" t="s">
        <v>597</v>
      </c>
      <c r="D95" s="328"/>
      <c r="E95" s="329"/>
      <c r="F95" s="64" t="s">
        <v>91</v>
      </c>
      <c r="G95" s="54">
        <v>40787</v>
      </c>
      <c r="H95" s="64" t="s">
        <v>598</v>
      </c>
      <c r="I95" s="252">
        <v>19700</v>
      </c>
      <c r="J95" s="256">
        <f t="shared" si="1"/>
        <v>19700</v>
      </c>
      <c r="K95" s="253" t="s">
        <v>153</v>
      </c>
      <c r="L95" s="58"/>
      <c r="M95" s="58"/>
      <c r="N95" s="58"/>
      <c r="O95" s="58"/>
      <c r="P95" s="58"/>
      <c r="Q95" s="58"/>
      <c r="R95" s="58"/>
    </row>
    <row r="96" spans="1:18" ht="14.25" customHeight="1" outlineLevel="1" x14ac:dyDescent="0.3">
      <c r="A96" s="64">
        <v>1</v>
      </c>
      <c r="B96" s="64" t="s">
        <v>108</v>
      </c>
      <c r="C96" s="367" t="s">
        <v>599</v>
      </c>
      <c r="D96" s="328"/>
      <c r="E96" s="329"/>
      <c r="F96" s="64" t="s">
        <v>91</v>
      </c>
      <c r="G96" s="71" t="s">
        <v>138</v>
      </c>
      <c r="H96" s="64" t="s">
        <v>600</v>
      </c>
      <c r="I96" s="252">
        <v>6000</v>
      </c>
      <c r="J96" s="256">
        <f t="shared" si="1"/>
        <v>6000</v>
      </c>
      <c r="K96" s="46" t="s">
        <v>28</v>
      </c>
      <c r="L96" s="21"/>
      <c r="M96" s="21"/>
      <c r="N96" s="21"/>
      <c r="O96" s="21"/>
      <c r="P96" s="21"/>
      <c r="Q96" s="21"/>
      <c r="R96" s="21"/>
    </row>
    <row r="97" spans="1:18" ht="14.25" customHeight="1" outlineLevel="1" x14ac:dyDescent="0.3">
      <c r="A97" s="22">
        <v>1</v>
      </c>
      <c r="B97" s="22" t="s">
        <v>103</v>
      </c>
      <c r="C97" s="20" t="s">
        <v>601</v>
      </c>
      <c r="D97" s="258"/>
      <c r="E97" s="258"/>
      <c r="F97" s="64" t="s">
        <v>91</v>
      </c>
      <c r="G97" s="65">
        <v>39722</v>
      </c>
      <c r="H97" s="22" t="s">
        <v>602</v>
      </c>
      <c r="I97" s="23">
        <v>5000</v>
      </c>
      <c r="J97" s="256">
        <f t="shared" si="1"/>
        <v>5000</v>
      </c>
      <c r="K97" s="46" t="s">
        <v>31</v>
      </c>
      <c r="L97" s="21"/>
      <c r="M97" s="21"/>
      <c r="N97" s="21"/>
      <c r="O97" s="21"/>
      <c r="P97" s="21"/>
      <c r="Q97" s="21"/>
      <c r="R97" s="21"/>
    </row>
    <row r="98" spans="1:18" ht="14.25" customHeight="1" outlineLevel="1" x14ac:dyDescent="0.3">
      <c r="A98" s="22">
        <v>1</v>
      </c>
      <c r="B98" s="22" t="s">
        <v>103</v>
      </c>
      <c r="C98" s="20" t="s">
        <v>603</v>
      </c>
      <c r="D98" s="258"/>
      <c r="E98" s="258"/>
      <c r="F98" s="64" t="s">
        <v>91</v>
      </c>
      <c r="G98" s="65">
        <v>41122</v>
      </c>
      <c r="H98" s="22" t="s">
        <v>604</v>
      </c>
      <c r="I98" s="23">
        <v>7800</v>
      </c>
      <c r="J98" s="256">
        <f t="shared" si="1"/>
        <v>7800</v>
      </c>
      <c r="K98" s="46" t="s">
        <v>31</v>
      </c>
      <c r="L98" s="21"/>
      <c r="M98" s="21"/>
      <c r="N98" s="21"/>
      <c r="O98" s="21"/>
      <c r="P98" s="21"/>
      <c r="Q98" s="21"/>
      <c r="R98" s="21"/>
    </row>
    <row r="99" spans="1:18" ht="14.25" customHeight="1" outlineLevel="1" x14ac:dyDescent="0.3">
      <c r="A99" s="22">
        <v>1</v>
      </c>
      <c r="B99" s="22" t="s">
        <v>103</v>
      </c>
      <c r="C99" s="20" t="s">
        <v>605</v>
      </c>
      <c r="D99" s="258"/>
      <c r="E99" s="258"/>
      <c r="F99" s="64" t="s">
        <v>91</v>
      </c>
      <c r="G99" s="65">
        <v>38961</v>
      </c>
      <c r="H99" s="22" t="s">
        <v>606</v>
      </c>
      <c r="I99" s="23">
        <v>5000</v>
      </c>
      <c r="J99" s="256">
        <f t="shared" si="1"/>
        <v>5000</v>
      </c>
      <c r="K99" s="46" t="s">
        <v>31</v>
      </c>
      <c r="L99" s="21"/>
      <c r="M99" s="21"/>
      <c r="N99" s="21"/>
      <c r="O99" s="21"/>
      <c r="P99" s="21"/>
      <c r="Q99" s="21"/>
      <c r="R99" s="21"/>
    </row>
    <row r="100" spans="1:18" ht="14.25" customHeight="1" outlineLevel="1" x14ac:dyDescent="0.3">
      <c r="A100" s="64">
        <v>1000</v>
      </c>
      <c r="B100" s="64" t="s">
        <v>103</v>
      </c>
      <c r="C100" s="367" t="s">
        <v>607</v>
      </c>
      <c r="D100" s="328"/>
      <c r="E100" s="329"/>
      <c r="F100" s="64" t="s">
        <v>91</v>
      </c>
      <c r="G100" s="65">
        <v>38777</v>
      </c>
      <c r="H100" s="104" t="s">
        <v>608</v>
      </c>
      <c r="I100" s="252">
        <v>285</v>
      </c>
      <c r="J100" s="256">
        <f t="shared" si="1"/>
        <v>285000</v>
      </c>
      <c r="K100" s="46" t="s">
        <v>46</v>
      </c>
      <c r="L100" s="58"/>
      <c r="M100" s="58"/>
      <c r="N100" s="58"/>
      <c r="O100" s="58"/>
      <c r="P100" s="58"/>
      <c r="Q100" s="58"/>
      <c r="R100" s="58"/>
    </row>
    <row r="101" spans="1:18" ht="14.25" customHeight="1" outlineLevel="1" x14ac:dyDescent="0.3">
      <c r="A101" s="17">
        <v>1</v>
      </c>
      <c r="B101" s="17" t="s">
        <v>103</v>
      </c>
      <c r="C101" s="368" t="s">
        <v>609</v>
      </c>
      <c r="D101" s="328"/>
      <c r="E101" s="329"/>
      <c r="F101" s="17" t="s">
        <v>91</v>
      </c>
      <c r="G101" s="24">
        <v>40787</v>
      </c>
      <c r="H101" s="109" t="s">
        <v>610</v>
      </c>
      <c r="I101" s="264">
        <v>5600</v>
      </c>
      <c r="J101" s="256">
        <f t="shared" si="1"/>
        <v>5600</v>
      </c>
      <c r="K101" s="46" t="s">
        <v>54</v>
      </c>
      <c r="L101" s="21"/>
      <c r="M101" s="21"/>
      <c r="N101" s="21"/>
      <c r="O101" s="21"/>
      <c r="P101" s="21"/>
      <c r="Q101" s="21"/>
      <c r="R101" s="21"/>
    </row>
    <row r="102" spans="1:18" ht="14.25" customHeight="1" outlineLevel="1" x14ac:dyDescent="0.3">
      <c r="A102" s="64">
        <v>500</v>
      </c>
      <c r="B102" s="64" t="s">
        <v>108</v>
      </c>
      <c r="C102" s="367" t="s">
        <v>611</v>
      </c>
      <c r="D102" s="328"/>
      <c r="E102" s="329"/>
      <c r="F102" s="64" t="s">
        <v>91</v>
      </c>
      <c r="G102" s="65">
        <v>41306</v>
      </c>
      <c r="H102" s="104" t="s">
        <v>612</v>
      </c>
      <c r="I102" s="252">
        <v>392</v>
      </c>
      <c r="J102" s="256">
        <f t="shared" si="1"/>
        <v>196000</v>
      </c>
      <c r="K102" s="46" t="s">
        <v>46</v>
      </c>
      <c r="L102" s="58"/>
      <c r="M102" s="58"/>
      <c r="N102" s="58"/>
      <c r="O102" s="58"/>
      <c r="P102" s="58"/>
      <c r="Q102" s="58"/>
      <c r="R102" s="58"/>
    </row>
    <row r="103" spans="1:18" ht="16.5" customHeight="1" outlineLevel="1" x14ac:dyDescent="0.3">
      <c r="A103" s="17">
        <v>1</v>
      </c>
      <c r="B103" s="17" t="s">
        <v>103</v>
      </c>
      <c r="C103" s="368" t="s">
        <v>613</v>
      </c>
      <c r="D103" s="328"/>
      <c r="E103" s="329"/>
      <c r="F103" s="17" t="s">
        <v>91</v>
      </c>
      <c r="G103" s="24">
        <v>40057</v>
      </c>
      <c r="H103" s="25" t="s">
        <v>614</v>
      </c>
      <c r="I103" s="29">
        <v>5600</v>
      </c>
      <c r="J103" s="256">
        <f t="shared" si="1"/>
        <v>5600</v>
      </c>
      <c r="K103" s="46" t="s">
        <v>41</v>
      </c>
      <c r="L103" s="58"/>
      <c r="M103" s="58"/>
      <c r="N103" s="58"/>
      <c r="O103" s="58"/>
      <c r="P103" s="58"/>
      <c r="Q103" s="58"/>
      <c r="R103" s="58"/>
    </row>
    <row r="104" spans="1:18" ht="16.5" customHeight="1" outlineLevel="1" x14ac:dyDescent="0.3">
      <c r="A104" s="17">
        <v>1</v>
      </c>
      <c r="B104" s="17" t="s">
        <v>103</v>
      </c>
      <c r="C104" s="368" t="s">
        <v>615</v>
      </c>
      <c r="D104" s="328"/>
      <c r="E104" s="329"/>
      <c r="F104" s="17" t="s">
        <v>91</v>
      </c>
      <c r="G104" s="24">
        <v>40787</v>
      </c>
      <c r="H104" s="25" t="s">
        <v>616</v>
      </c>
      <c r="I104" s="264">
        <v>5600</v>
      </c>
      <c r="J104" s="256">
        <f t="shared" si="1"/>
        <v>5600</v>
      </c>
      <c r="K104" s="46" t="s">
        <v>41</v>
      </c>
      <c r="L104" s="58"/>
      <c r="M104" s="58"/>
      <c r="N104" s="58"/>
      <c r="O104" s="58"/>
      <c r="P104" s="58"/>
      <c r="Q104" s="58"/>
      <c r="R104" s="58"/>
    </row>
    <row r="105" spans="1:18" ht="16.5" customHeight="1" outlineLevel="1" x14ac:dyDescent="0.3">
      <c r="A105" s="17">
        <v>1</v>
      </c>
      <c r="B105" s="17" t="s">
        <v>103</v>
      </c>
      <c r="C105" s="368" t="s">
        <v>617</v>
      </c>
      <c r="D105" s="328"/>
      <c r="E105" s="329"/>
      <c r="F105" s="17" t="s">
        <v>91</v>
      </c>
      <c r="G105" s="24">
        <v>40026</v>
      </c>
      <c r="H105" s="25" t="s">
        <v>618</v>
      </c>
      <c r="I105" s="29">
        <v>7000</v>
      </c>
      <c r="J105" s="256">
        <f t="shared" si="1"/>
        <v>7000</v>
      </c>
      <c r="K105" s="46" t="s">
        <v>41</v>
      </c>
      <c r="L105" s="58"/>
      <c r="M105" s="58"/>
      <c r="N105" s="58"/>
      <c r="O105" s="58"/>
      <c r="P105" s="58"/>
      <c r="Q105" s="58"/>
      <c r="R105" s="58"/>
    </row>
    <row r="106" spans="1:18" ht="14.25" customHeight="1" outlineLevel="1" x14ac:dyDescent="0.3">
      <c r="A106" s="64">
        <v>1</v>
      </c>
      <c r="B106" s="64" t="s">
        <v>22</v>
      </c>
      <c r="C106" s="367" t="s">
        <v>619</v>
      </c>
      <c r="D106" s="328"/>
      <c r="E106" s="329"/>
      <c r="F106" s="17" t="s">
        <v>91</v>
      </c>
      <c r="G106" s="65"/>
      <c r="H106" s="251" t="s">
        <v>620</v>
      </c>
      <c r="I106" s="252"/>
      <c r="J106" s="256">
        <f t="shared" si="1"/>
        <v>0</v>
      </c>
      <c r="K106" s="46" t="s">
        <v>67</v>
      </c>
      <c r="L106" s="21"/>
      <c r="M106" s="21"/>
      <c r="N106" s="21"/>
      <c r="O106" s="21"/>
      <c r="P106" s="21"/>
      <c r="Q106" s="21"/>
      <c r="R106" s="21"/>
    </row>
    <row r="107" spans="1:18" ht="14.25" customHeight="1" outlineLevel="1" x14ac:dyDescent="0.3">
      <c r="A107" s="64">
        <v>2</v>
      </c>
      <c r="B107" s="64" t="s">
        <v>108</v>
      </c>
      <c r="C107" s="367" t="s">
        <v>621</v>
      </c>
      <c r="D107" s="328"/>
      <c r="E107" s="329"/>
      <c r="F107" s="64" t="s">
        <v>91</v>
      </c>
      <c r="G107" s="71" t="s">
        <v>138</v>
      </c>
      <c r="H107" s="251" t="s">
        <v>622</v>
      </c>
      <c r="I107" s="257">
        <v>5600</v>
      </c>
      <c r="J107" s="256">
        <f t="shared" si="1"/>
        <v>11200</v>
      </c>
      <c r="K107" s="46" t="s">
        <v>67</v>
      </c>
      <c r="L107" s="21"/>
      <c r="M107" s="21"/>
      <c r="N107" s="21"/>
      <c r="O107" s="21"/>
      <c r="P107" s="21"/>
      <c r="Q107" s="21"/>
      <c r="R107" s="21"/>
    </row>
    <row r="108" spans="1:18" ht="16.5" customHeight="1" outlineLevel="1" x14ac:dyDescent="0.3">
      <c r="A108" s="64">
        <v>1</v>
      </c>
      <c r="B108" s="64" t="s">
        <v>103</v>
      </c>
      <c r="C108" s="367" t="s">
        <v>623</v>
      </c>
      <c r="D108" s="328"/>
      <c r="E108" s="329"/>
      <c r="F108" s="64" t="s">
        <v>91</v>
      </c>
      <c r="G108" s="65">
        <v>39600</v>
      </c>
      <c r="H108" s="251" t="s">
        <v>624</v>
      </c>
      <c r="I108" s="252">
        <v>9000</v>
      </c>
      <c r="J108" s="256">
        <f t="shared" si="1"/>
        <v>9000</v>
      </c>
      <c r="K108" s="46" t="s">
        <v>472</v>
      </c>
      <c r="L108" s="58"/>
      <c r="M108" s="58"/>
      <c r="N108" s="58"/>
      <c r="O108" s="58"/>
      <c r="P108" s="58"/>
      <c r="Q108" s="58"/>
      <c r="R108" s="58"/>
    </row>
    <row r="109" spans="1:18" ht="14.25" customHeight="1" outlineLevel="1" x14ac:dyDescent="0.3">
      <c r="A109" s="64">
        <v>3</v>
      </c>
      <c r="B109" s="64" t="s">
        <v>108</v>
      </c>
      <c r="C109" s="367" t="s">
        <v>625</v>
      </c>
      <c r="D109" s="328"/>
      <c r="E109" s="329"/>
      <c r="F109" s="64" t="s">
        <v>91</v>
      </c>
      <c r="G109" s="65">
        <v>39173</v>
      </c>
      <c r="H109" s="251" t="s">
        <v>626</v>
      </c>
      <c r="I109" s="257">
        <v>2850</v>
      </c>
      <c r="J109" s="256">
        <f t="shared" si="1"/>
        <v>8550</v>
      </c>
      <c r="K109" s="46" t="s">
        <v>627</v>
      </c>
      <c r="L109" s="21"/>
      <c r="M109" s="21"/>
      <c r="N109" s="21"/>
      <c r="O109" s="21"/>
      <c r="P109" s="21"/>
      <c r="Q109" s="21"/>
      <c r="R109" s="21"/>
    </row>
    <row r="110" spans="1:18" ht="14.25" customHeight="1" outlineLevel="1" x14ac:dyDescent="0.3">
      <c r="A110" s="64">
        <v>1</v>
      </c>
      <c r="B110" s="64" t="s">
        <v>103</v>
      </c>
      <c r="C110" s="367" t="s">
        <v>628</v>
      </c>
      <c r="D110" s="328"/>
      <c r="E110" s="329"/>
      <c r="F110" s="64" t="s">
        <v>91</v>
      </c>
      <c r="G110" s="65">
        <v>36557</v>
      </c>
      <c r="H110" s="251" t="s">
        <v>629</v>
      </c>
      <c r="I110" s="252">
        <v>4271</v>
      </c>
      <c r="J110" s="256">
        <f t="shared" si="1"/>
        <v>4271</v>
      </c>
      <c r="K110" s="46" t="s">
        <v>472</v>
      </c>
      <c r="L110" s="21"/>
      <c r="M110" s="21"/>
      <c r="N110" s="21"/>
      <c r="O110" s="21"/>
      <c r="P110" s="21"/>
      <c r="Q110" s="21"/>
      <c r="R110" s="21"/>
    </row>
    <row r="111" spans="1:18" ht="14.25" customHeight="1" outlineLevel="1" x14ac:dyDescent="0.3">
      <c r="A111" s="64">
        <v>1</v>
      </c>
      <c r="B111" s="64" t="s">
        <v>13</v>
      </c>
      <c r="C111" s="367" t="s">
        <v>484</v>
      </c>
      <c r="D111" s="328"/>
      <c r="E111" s="329"/>
      <c r="F111" s="64" t="s">
        <v>91</v>
      </c>
      <c r="G111" s="71" t="s">
        <v>485</v>
      </c>
      <c r="H111" s="251" t="s">
        <v>486</v>
      </c>
      <c r="I111" s="257">
        <v>2000</v>
      </c>
      <c r="J111" s="256">
        <f t="shared" si="1"/>
        <v>2000</v>
      </c>
      <c r="K111" s="46" t="s">
        <v>627</v>
      </c>
      <c r="L111" s="21"/>
      <c r="M111" s="21"/>
      <c r="N111" s="21"/>
      <c r="O111" s="21"/>
      <c r="P111" s="21"/>
      <c r="Q111" s="21"/>
      <c r="R111" s="21"/>
    </row>
    <row r="112" spans="1:18" ht="14.25" customHeight="1" outlineLevel="1" x14ac:dyDescent="0.3">
      <c r="A112" s="64">
        <v>1</v>
      </c>
      <c r="B112" s="64" t="s">
        <v>13</v>
      </c>
      <c r="C112" s="367" t="s">
        <v>487</v>
      </c>
      <c r="D112" s="328"/>
      <c r="E112" s="329"/>
      <c r="F112" s="64" t="s">
        <v>91</v>
      </c>
      <c r="G112" s="71" t="s">
        <v>485</v>
      </c>
      <c r="H112" s="251" t="s">
        <v>488</v>
      </c>
      <c r="I112" s="252">
        <v>2900</v>
      </c>
      <c r="J112" s="256">
        <f t="shared" si="1"/>
        <v>2900</v>
      </c>
      <c r="K112" s="46" t="s">
        <v>627</v>
      </c>
      <c r="L112" s="21"/>
      <c r="M112" s="21"/>
      <c r="N112" s="21"/>
      <c r="O112" s="21"/>
      <c r="P112" s="21"/>
      <c r="Q112" s="21"/>
      <c r="R112" s="21"/>
    </row>
    <row r="113" spans="1:18" ht="16.5" customHeight="1" x14ac:dyDescent="0.3">
      <c r="A113" s="366" t="s">
        <v>111</v>
      </c>
      <c r="B113" s="331"/>
      <c r="C113" s="331"/>
      <c r="D113" s="331"/>
      <c r="E113" s="331"/>
      <c r="F113" s="331"/>
      <c r="G113" s="331"/>
      <c r="H113" s="332"/>
      <c r="I113" s="265"/>
      <c r="J113" s="260">
        <f>SUM(J82:J112)</f>
        <v>672171</v>
      </c>
      <c r="K113" s="266"/>
      <c r="L113" s="58"/>
      <c r="M113" s="58"/>
      <c r="N113" s="58"/>
      <c r="O113" s="58"/>
      <c r="P113" s="58"/>
      <c r="Q113" s="58"/>
      <c r="R113" s="58"/>
    </row>
    <row r="114" spans="1:18" ht="14.25" customHeight="1" outlineLevel="1" x14ac:dyDescent="0.3">
      <c r="A114" s="28">
        <v>1</v>
      </c>
      <c r="B114" s="28" t="s">
        <v>13</v>
      </c>
      <c r="C114" s="371" t="s">
        <v>630</v>
      </c>
      <c r="D114" s="328"/>
      <c r="E114" s="329"/>
      <c r="F114" s="28" t="s">
        <v>113</v>
      </c>
      <c r="G114" s="262" t="s">
        <v>83</v>
      </c>
      <c r="H114" s="28" t="s">
        <v>631</v>
      </c>
      <c r="I114" s="256">
        <v>10200</v>
      </c>
      <c r="J114" s="256">
        <f t="shared" ref="J114:J157" si="2">A114*I114</f>
        <v>10200</v>
      </c>
      <c r="K114" s="249" t="s">
        <v>17</v>
      </c>
      <c r="L114" s="58"/>
      <c r="M114" s="58"/>
      <c r="N114" s="58"/>
      <c r="O114" s="58"/>
      <c r="P114" s="58"/>
      <c r="Q114" s="58"/>
      <c r="R114" s="58"/>
    </row>
    <row r="115" spans="1:18" ht="14.25" customHeight="1" outlineLevel="1" x14ac:dyDescent="0.3">
      <c r="A115" s="28">
        <v>1</v>
      </c>
      <c r="B115" s="28" t="s">
        <v>13</v>
      </c>
      <c r="C115" s="371" t="s">
        <v>632</v>
      </c>
      <c r="D115" s="328"/>
      <c r="E115" s="329"/>
      <c r="F115" s="28" t="s">
        <v>113</v>
      </c>
      <c r="G115" s="263">
        <v>41395</v>
      </c>
      <c r="H115" s="247" t="s">
        <v>633</v>
      </c>
      <c r="I115" s="256">
        <v>30000</v>
      </c>
      <c r="J115" s="256">
        <f t="shared" si="2"/>
        <v>30000</v>
      </c>
      <c r="K115" s="249" t="s">
        <v>17</v>
      </c>
      <c r="L115" s="58"/>
      <c r="M115" s="58"/>
      <c r="N115" s="58"/>
      <c r="O115" s="58"/>
      <c r="P115" s="58"/>
      <c r="Q115" s="58"/>
      <c r="R115" s="58"/>
    </row>
    <row r="116" spans="1:18" ht="14.25" customHeight="1" outlineLevel="1" x14ac:dyDescent="0.3">
      <c r="A116" s="28">
        <v>1</v>
      </c>
      <c r="B116" s="28" t="s">
        <v>22</v>
      </c>
      <c r="C116" s="371" t="s">
        <v>634</v>
      </c>
      <c r="D116" s="328"/>
      <c r="E116" s="329"/>
      <c r="F116" s="28" t="s">
        <v>113</v>
      </c>
      <c r="G116" s="262" t="s">
        <v>231</v>
      </c>
      <c r="H116" s="247" t="s">
        <v>635</v>
      </c>
      <c r="I116" s="256">
        <v>5000</v>
      </c>
      <c r="J116" s="256">
        <f t="shared" si="2"/>
        <v>5000</v>
      </c>
      <c r="K116" s="249" t="s">
        <v>17</v>
      </c>
      <c r="L116" s="58"/>
      <c r="M116" s="58"/>
      <c r="N116" s="58"/>
      <c r="O116" s="58"/>
      <c r="P116" s="58"/>
      <c r="Q116" s="58"/>
      <c r="R116" s="58"/>
    </row>
    <row r="117" spans="1:18" ht="14.25" customHeight="1" outlineLevel="1" x14ac:dyDescent="0.3">
      <c r="A117" s="64">
        <v>1</v>
      </c>
      <c r="B117" s="64" t="s">
        <v>96</v>
      </c>
      <c r="C117" s="339" t="s">
        <v>636</v>
      </c>
      <c r="D117" s="328"/>
      <c r="E117" s="329"/>
      <c r="F117" s="64" t="s">
        <v>113</v>
      </c>
      <c r="G117" s="65">
        <v>40238</v>
      </c>
      <c r="H117" s="251" t="s">
        <v>637</v>
      </c>
      <c r="I117" s="257">
        <v>48950</v>
      </c>
      <c r="J117" s="256">
        <f t="shared" si="2"/>
        <v>48950</v>
      </c>
      <c r="K117" s="253" t="s">
        <v>21</v>
      </c>
      <c r="L117" s="21"/>
      <c r="M117" s="21"/>
      <c r="N117" s="21"/>
      <c r="O117" s="21"/>
      <c r="P117" s="21"/>
      <c r="Q117" s="21"/>
      <c r="R117" s="21"/>
    </row>
    <row r="118" spans="1:18" ht="14.25" customHeight="1" outlineLevel="1" x14ac:dyDescent="0.3">
      <c r="A118" s="28">
        <v>1</v>
      </c>
      <c r="B118" s="28" t="s">
        <v>13</v>
      </c>
      <c r="C118" s="371" t="s">
        <v>638</v>
      </c>
      <c r="D118" s="328"/>
      <c r="E118" s="329"/>
      <c r="F118" s="28" t="s">
        <v>113</v>
      </c>
      <c r="G118" s="247" t="s">
        <v>639</v>
      </c>
      <c r="H118" s="247" t="s">
        <v>640</v>
      </c>
      <c r="I118" s="256">
        <v>10000</v>
      </c>
      <c r="J118" s="256">
        <f t="shared" si="2"/>
        <v>10000</v>
      </c>
      <c r="K118" s="249" t="s">
        <v>25</v>
      </c>
      <c r="L118" s="21"/>
      <c r="M118" s="21"/>
      <c r="N118" s="21"/>
      <c r="O118" s="21"/>
      <c r="P118" s="21"/>
      <c r="Q118" s="21"/>
      <c r="R118" s="21"/>
    </row>
    <row r="119" spans="1:18" ht="14.25" customHeight="1" outlineLevel="1" x14ac:dyDescent="0.3">
      <c r="A119" s="28">
        <v>1</v>
      </c>
      <c r="B119" s="28" t="s">
        <v>13</v>
      </c>
      <c r="C119" s="371" t="s">
        <v>641</v>
      </c>
      <c r="D119" s="328"/>
      <c r="E119" s="329"/>
      <c r="F119" s="28" t="s">
        <v>113</v>
      </c>
      <c r="G119" s="254">
        <v>40878</v>
      </c>
      <c r="H119" s="247" t="s">
        <v>642</v>
      </c>
      <c r="I119" s="256">
        <v>48900</v>
      </c>
      <c r="J119" s="256">
        <f t="shared" si="2"/>
        <v>48900</v>
      </c>
      <c r="K119" s="249" t="s">
        <v>25</v>
      </c>
      <c r="L119" s="21"/>
      <c r="M119" s="21"/>
      <c r="N119" s="21"/>
      <c r="O119" s="21"/>
      <c r="P119" s="21"/>
      <c r="Q119" s="21"/>
      <c r="R119" s="21"/>
    </row>
    <row r="120" spans="1:18" ht="14.25" customHeight="1" outlineLevel="1" x14ac:dyDescent="0.3">
      <c r="A120" s="64">
        <v>1</v>
      </c>
      <c r="B120" s="64" t="s">
        <v>13</v>
      </c>
      <c r="C120" s="339" t="s">
        <v>643</v>
      </c>
      <c r="D120" s="328"/>
      <c r="E120" s="329"/>
      <c r="F120" s="64" t="s">
        <v>113</v>
      </c>
      <c r="G120" s="54">
        <v>40878</v>
      </c>
      <c r="H120" s="64" t="s">
        <v>644</v>
      </c>
      <c r="I120" s="23">
        <v>49800</v>
      </c>
      <c r="J120" s="256">
        <f t="shared" si="2"/>
        <v>49800</v>
      </c>
      <c r="K120" s="253" t="s">
        <v>153</v>
      </c>
      <c r="L120" s="21"/>
      <c r="M120" s="21"/>
      <c r="N120" s="21"/>
      <c r="O120" s="21"/>
      <c r="P120" s="21"/>
      <c r="Q120" s="21"/>
      <c r="R120" s="21"/>
    </row>
    <row r="121" spans="1:18" ht="14.25" customHeight="1" outlineLevel="1" x14ac:dyDescent="0.3">
      <c r="A121" s="64">
        <v>1</v>
      </c>
      <c r="B121" s="64" t="s">
        <v>13</v>
      </c>
      <c r="C121" s="339" t="s">
        <v>645</v>
      </c>
      <c r="D121" s="328"/>
      <c r="E121" s="329"/>
      <c r="F121" s="64" t="s">
        <v>113</v>
      </c>
      <c r="G121" s="54">
        <v>40787</v>
      </c>
      <c r="H121" s="64" t="s">
        <v>646</v>
      </c>
      <c r="I121" s="252">
        <v>9800</v>
      </c>
      <c r="J121" s="256">
        <f t="shared" si="2"/>
        <v>9800</v>
      </c>
      <c r="K121" s="253" t="s">
        <v>153</v>
      </c>
      <c r="L121" s="21"/>
      <c r="M121" s="21"/>
      <c r="N121" s="21"/>
      <c r="O121" s="21"/>
      <c r="P121" s="21"/>
      <c r="Q121" s="21"/>
      <c r="R121" s="21"/>
    </row>
    <row r="122" spans="1:18" ht="14.25" customHeight="1" outlineLevel="1" x14ac:dyDescent="0.3">
      <c r="A122" s="64">
        <v>1</v>
      </c>
      <c r="B122" s="64" t="s">
        <v>13</v>
      </c>
      <c r="C122" s="339" t="s">
        <v>647</v>
      </c>
      <c r="D122" s="328"/>
      <c r="E122" s="329"/>
      <c r="F122" s="64" t="s">
        <v>113</v>
      </c>
      <c r="G122" s="54">
        <v>41760</v>
      </c>
      <c r="H122" s="64" t="s">
        <v>648</v>
      </c>
      <c r="I122" s="252">
        <v>40000</v>
      </c>
      <c r="J122" s="256">
        <f t="shared" si="2"/>
        <v>40000</v>
      </c>
      <c r="K122" s="253" t="s">
        <v>153</v>
      </c>
      <c r="L122" s="21"/>
      <c r="M122" s="21"/>
      <c r="N122" s="21"/>
      <c r="O122" s="21"/>
      <c r="P122" s="21"/>
      <c r="Q122" s="21"/>
      <c r="R122" s="21"/>
    </row>
    <row r="123" spans="1:18" ht="14.25" customHeight="1" outlineLevel="1" x14ac:dyDescent="0.3">
      <c r="A123" s="64">
        <v>1</v>
      </c>
      <c r="B123" s="64" t="s">
        <v>13</v>
      </c>
      <c r="C123" s="339" t="s">
        <v>649</v>
      </c>
      <c r="D123" s="328"/>
      <c r="E123" s="329"/>
      <c r="F123" s="64" t="s">
        <v>113</v>
      </c>
      <c r="G123" s="71" t="s">
        <v>231</v>
      </c>
      <c r="H123" s="64" t="s">
        <v>650</v>
      </c>
      <c r="I123" s="252">
        <v>9667</v>
      </c>
      <c r="J123" s="256">
        <f t="shared" si="2"/>
        <v>9667</v>
      </c>
      <c r="K123" s="253" t="s">
        <v>153</v>
      </c>
      <c r="L123" s="21"/>
      <c r="M123" s="21"/>
      <c r="N123" s="21"/>
      <c r="O123" s="21"/>
      <c r="P123" s="21"/>
      <c r="Q123" s="21"/>
      <c r="R123" s="21"/>
    </row>
    <row r="124" spans="1:18" ht="14.25" customHeight="1" outlineLevel="1" x14ac:dyDescent="0.3">
      <c r="A124" s="64">
        <v>1</v>
      </c>
      <c r="B124" s="64" t="s">
        <v>13</v>
      </c>
      <c r="C124" s="339" t="s">
        <v>651</v>
      </c>
      <c r="D124" s="328"/>
      <c r="E124" s="329"/>
      <c r="F124" s="64" t="s">
        <v>113</v>
      </c>
      <c r="G124" s="65">
        <v>38504</v>
      </c>
      <c r="H124" s="251" t="s">
        <v>652</v>
      </c>
      <c r="I124" s="252">
        <v>0</v>
      </c>
      <c r="J124" s="256">
        <f t="shared" si="2"/>
        <v>0</v>
      </c>
      <c r="K124" s="253" t="s">
        <v>158</v>
      </c>
      <c r="L124" s="21"/>
      <c r="M124" s="21"/>
      <c r="N124" s="21"/>
      <c r="O124" s="21"/>
      <c r="P124" s="21"/>
      <c r="Q124" s="21"/>
      <c r="R124" s="21"/>
    </row>
    <row r="125" spans="1:18" ht="16.5" customHeight="1" outlineLevel="1" x14ac:dyDescent="0.3">
      <c r="A125" s="64">
        <v>1</v>
      </c>
      <c r="B125" s="64" t="s">
        <v>22</v>
      </c>
      <c r="C125" s="339" t="s">
        <v>653</v>
      </c>
      <c r="D125" s="328"/>
      <c r="E125" s="329"/>
      <c r="F125" s="64" t="s">
        <v>113</v>
      </c>
      <c r="G125" s="65">
        <v>40330</v>
      </c>
      <c r="H125" s="251" t="s">
        <v>654</v>
      </c>
      <c r="I125" s="252">
        <v>37450</v>
      </c>
      <c r="J125" s="256">
        <f t="shared" si="2"/>
        <v>37450</v>
      </c>
      <c r="K125" s="253" t="s">
        <v>158</v>
      </c>
      <c r="L125" s="58"/>
      <c r="M125" s="58"/>
      <c r="N125" s="58"/>
      <c r="O125" s="58"/>
      <c r="P125" s="58"/>
      <c r="Q125" s="58"/>
      <c r="R125" s="58"/>
    </row>
    <row r="126" spans="1:18" ht="16.5" customHeight="1" outlineLevel="1" x14ac:dyDescent="0.3">
      <c r="A126" s="64">
        <v>1</v>
      </c>
      <c r="B126" s="64" t="s">
        <v>13</v>
      </c>
      <c r="C126" s="339" t="s">
        <v>653</v>
      </c>
      <c r="D126" s="328"/>
      <c r="E126" s="329"/>
      <c r="F126" s="64" t="s">
        <v>113</v>
      </c>
      <c r="G126" s="259" t="s">
        <v>655</v>
      </c>
      <c r="H126" s="64" t="s">
        <v>656</v>
      </c>
      <c r="I126" s="252">
        <v>40000</v>
      </c>
      <c r="J126" s="256">
        <f t="shared" si="2"/>
        <v>40000</v>
      </c>
      <c r="K126" s="46" t="s">
        <v>317</v>
      </c>
      <c r="L126" s="58"/>
      <c r="M126" s="58"/>
      <c r="N126" s="58"/>
      <c r="O126" s="58"/>
      <c r="P126" s="58"/>
      <c r="Q126" s="58"/>
      <c r="R126" s="58"/>
    </row>
    <row r="127" spans="1:18" ht="16.5" customHeight="1" outlineLevel="1" x14ac:dyDescent="0.3">
      <c r="A127" s="64">
        <v>1</v>
      </c>
      <c r="B127" s="64" t="s">
        <v>13</v>
      </c>
      <c r="C127" s="339" t="s">
        <v>657</v>
      </c>
      <c r="D127" s="328"/>
      <c r="E127" s="329"/>
      <c r="F127" s="64" t="s">
        <v>113</v>
      </c>
      <c r="G127" s="259" t="s">
        <v>655</v>
      </c>
      <c r="H127" s="64" t="s">
        <v>658</v>
      </c>
      <c r="I127" s="252">
        <v>10000</v>
      </c>
      <c r="J127" s="256">
        <f t="shared" si="2"/>
        <v>10000</v>
      </c>
      <c r="K127" s="46" t="s">
        <v>317</v>
      </c>
      <c r="L127" s="58"/>
      <c r="M127" s="58"/>
      <c r="N127" s="58"/>
      <c r="O127" s="58"/>
      <c r="P127" s="58"/>
      <c r="Q127" s="58"/>
      <c r="R127" s="58"/>
    </row>
    <row r="128" spans="1:18" ht="16.5" customHeight="1" outlineLevel="1" x14ac:dyDescent="0.3">
      <c r="A128" s="64">
        <v>1</v>
      </c>
      <c r="B128" s="64" t="s">
        <v>13</v>
      </c>
      <c r="C128" s="339" t="s">
        <v>659</v>
      </c>
      <c r="D128" s="328"/>
      <c r="E128" s="329"/>
      <c r="F128" s="64" t="s">
        <v>113</v>
      </c>
      <c r="G128" s="71" t="s">
        <v>639</v>
      </c>
      <c r="H128" s="64" t="s">
        <v>660</v>
      </c>
      <c r="I128" s="252">
        <v>30000</v>
      </c>
      <c r="J128" s="256">
        <f t="shared" si="2"/>
        <v>30000</v>
      </c>
      <c r="K128" s="46" t="s">
        <v>168</v>
      </c>
      <c r="L128" s="58"/>
      <c r="M128" s="58"/>
      <c r="N128" s="58"/>
      <c r="O128" s="58"/>
      <c r="P128" s="58"/>
      <c r="Q128" s="58"/>
      <c r="R128" s="58"/>
    </row>
    <row r="129" spans="1:18" ht="16.5" customHeight="1" outlineLevel="1" x14ac:dyDescent="0.3">
      <c r="A129" s="64">
        <v>1</v>
      </c>
      <c r="B129" s="64" t="s">
        <v>13</v>
      </c>
      <c r="C129" s="267" t="s">
        <v>661</v>
      </c>
      <c r="D129" s="267"/>
      <c r="E129" s="267"/>
      <c r="F129" s="64" t="s">
        <v>113</v>
      </c>
      <c r="G129" s="71" t="s">
        <v>65</v>
      </c>
      <c r="H129" s="64" t="s">
        <v>662</v>
      </c>
      <c r="I129" s="252">
        <v>10000</v>
      </c>
      <c r="J129" s="256">
        <f t="shared" si="2"/>
        <v>10000</v>
      </c>
      <c r="K129" s="46" t="s">
        <v>168</v>
      </c>
      <c r="L129" s="58"/>
      <c r="M129" s="58"/>
      <c r="N129" s="58"/>
      <c r="O129" s="58"/>
      <c r="P129" s="58"/>
      <c r="Q129" s="58"/>
      <c r="R129" s="58"/>
    </row>
    <row r="130" spans="1:18" ht="16.5" customHeight="1" outlineLevel="1" x14ac:dyDescent="0.3">
      <c r="A130" s="64">
        <v>1</v>
      </c>
      <c r="B130" s="64" t="s">
        <v>13</v>
      </c>
      <c r="C130" s="267" t="s">
        <v>643</v>
      </c>
      <c r="D130" s="267"/>
      <c r="E130" s="267"/>
      <c r="F130" s="64" t="s">
        <v>113</v>
      </c>
      <c r="G130" s="71" t="s">
        <v>260</v>
      </c>
      <c r="H130" s="64" t="s">
        <v>663</v>
      </c>
      <c r="I130" s="252">
        <v>48900</v>
      </c>
      <c r="J130" s="256">
        <f t="shared" si="2"/>
        <v>48900</v>
      </c>
      <c r="K130" s="46" t="s">
        <v>168</v>
      </c>
      <c r="L130" s="58"/>
      <c r="M130" s="58"/>
      <c r="N130" s="58"/>
      <c r="O130" s="58"/>
      <c r="P130" s="58"/>
      <c r="Q130" s="58"/>
      <c r="R130" s="58"/>
    </row>
    <row r="131" spans="1:18" ht="14.25" customHeight="1" outlineLevel="1" x14ac:dyDescent="0.3">
      <c r="A131" s="64">
        <v>1</v>
      </c>
      <c r="B131" s="64" t="s">
        <v>96</v>
      </c>
      <c r="C131" s="339" t="s">
        <v>664</v>
      </c>
      <c r="D131" s="328"/>
      <c r="E131" s="329"/>
      <c r="F131" s="64" t="s">
        <v>113</v>
      </c>
      <c r="G131" s="71" t="s">
        <v>231</v>
      </c>
      <c r="H131" s="64" t="s">
        <v>665</v>
      </c>
      <c r="I131" s="252">
        <v>33000</v>
      </c>
      <c r="J131" s="256">
        <f t="shared" si="2"/>
        <v>33000</v>
      </c>
      <c r="K131" s="46" t="s">
        <v>28</v>
      </c>
      <c r="L131" s="21"/>
      <c r="M131" s="21"/>
      <c r="N131" s="21"/>
      <c r="O131" s="21"/>
      <c r="P131" s="21"/>
      <c r="Q131" s="21"/>
      <c r="R131" s="21"/>
    </row>
    <row r="132" spans="1:18" ht="14.25" customHeight="1" outlineLevel="1" x14ac:dyDescent="0.3">
      <c r="A132" s="64">
        <v>1</v>
      </c>
      <c r="B132" s="64" t="s">
        <v>13</v>
      </c>
      <c r="C132" s="339" t="s">
        <v>238</v>
      </c>
      <c r="D132" s="328"/>
      <c r="E132" s="329"/>
      <c r="F132" s="64" t="s">
        <v>113</v>
      </c>
      <c r="G132" s="71" t="s">
        <v>231</v>
      </c>
      <c r="H132" s="64" t="s">
        <v>666</v>
      </c>
      <c r="I132" s="252">
        <v>30000</v>
      </c>
      <c r="J132" s="256">
        <f t="shared" si="2"/>
        <v>30000</v>
      </c>
      <c r="K132" s="46" t="s">
        <v>28</v>
      </c>
      <c r="L132" s="21"/>
      <c r="M132" s="21"/>
      <c r="N132" s="21"/>
      <c r="O132" s="21"/>
      <c r="P132" s="21"/>
      <c r="Q132" s="21"/>
      <c r="R132" s="21"/>
    </row>
    <row r="133" spans="1:18" ht="14.25" customHeight="1" outlineLevel="1" x14ac:dyDescent="0.3">
      <c r="A133" s="64">
        <v>1</v>
      </c>
      <c r="B133" s="64" t="s">
        <v>13</v>
      </c>
      <c r="C133" s="339" t="s">
        <v>667</v>
      </c>
      <c r="D133" s="328"/>
      <c r="E133" s="329"/>
      <c r="F133" s="64" t="s">
        <v>113</v>
      </c>
      <c r="G133" s="71" t="s">
        <v>231</v>
      </c>
      <c r="H133" s="64" t="s">
        <v>668</v>
      </c>
      <c r="I133" s="252">
        <v>10000</v>
      </c>
      <c r="J133" s="256">
        <f t="shared" si="2"/>
        <v>10000</v>
      </c>
      <c r="K133" s="46" t="s">
        <v>28</v>
      </c>
      <c r="L133" s="21"/>
      <c r="M133" s="21"/>
      <c r="N133" s="21"/>
      <c r="O133" s="21"/>
      <c r="P133" s="21"/>
      <c r="Q133" s="21"/>
      <c r="R133" s="21"/>
    </row>
    <row r="134" spans="1:18" ht="14.25" customHeight="1" outlineLevel="1" x14ac:dyDescent="0.3">
      <c r="A134" s="22">
        <v>1</v>
      </c>
      <c r="B134" s="22" t="s">
        <v>13</v>
      </c>
      <c r="C134" s="343" t="s">
        <v>669</v>
      </c>
      <c r="D134" s="328"/>
      <c r="E134" s="329"/>
      <c r="F134" s="22" t="s">
        <v>113</v>
      </c>
      <c r="G134" s="268">
        <v>42996</v>
      </c>
      <c r="H134" s="22" t="s">
        <v>670</v>
      </c>
      <c r="I134" s="23">
        <v>19800</v>
      </c>
      <c r="J134" s="256">
        <f t="shared" si="2"/>
        <v>19800</v>
      </c>
      <c r="K134" s="46" t="s">
        <v>28</v>
      </c>
      <c r="L134" s="21"/>
      <c r="M134" s="21"/>
      <c r="N134" s="21"/>
      <c r="O134" s="21"/>
      <c r="P134" s="21"/>
      <c r="Q134" s="21"/>
      <c r="R134" s="21"/>
    </row>
    <row r="135" spans="1:18" ht="14.25" customHeight="1" outlineLevel="1" x14ac:dyDescent="0.3">
      <c r="A135" s="22">
        <v>1</v>
      </c>
      <c r="B135" s="22" t="s">
        <v>13</v>
      </c>
      <c r="C135" s="343" t="s">
        <v>669</v>
      </c>
      <c r="D135" s="328"/>
      <c r="E135" s="329"/>
      <c r="F135" s="64" t="s">
        <v>113</v>
      </c>
      <c r="G135" s="22"/>
      <c r="H135" s="22" t="s">
        <v>671</v>
      </c>
      <c r="I135" s="23">
        <v>19800</v>
      </c>
      <c r="J135" s="256">
        <f t="shared" si="2"/>
        <v>19800</v>
      </c>
      <c r="K135" s="46" t="s">
        <v>28</v>
      </c>
      <c r="L135" s="21"/>
      <c r="M135" s="21"/>
      <c r="N135" s="21"/>
      <c r="O135" s="21"/>
      <c r="P135" s="21"/>
      <c r="Q135" s="21"/>
      <c r="R135" s="21"/>
    </row>
    <row r="136" spans="1:18" ht="16.5" customHeight="1" outlineLevel="1" x14ac:dyDescent="0.3">
      <c r="A136" s="64">
        <v>1</v>
      </c>
      <c r="B136" s="64" t="s">
        <v>13</v>
      </c>
      <c r="C136" s="339" t="s">
        <v>672</v>
      </c>
      <c r="D136" s="328"/>
      <c r="E136" s="329"/>
      <c r="F136" s="64" t="s">
        <v>113</v>
      </c>
      <c r="G136" s="65">
        <v>40513</v>
      </c>
      <c r="H136" s="251" t="s">
        <v>673</v>
      </c>
      <c r="I136" s="252">
        <v>45000</v>
      </c>
      <c r="J136" s="256">
        <f t="shared" si="2"/>
        <v>45000</v>
      </c>
      <c r="K136" s="46" t="s">
        <v>31</v>
      </c>
      <c r="L136" s="58"/>
      <c r="M136" s="58"/>
      <c r="N136" s="58"/>
      <c r="O136" s="58"/>
      <c r="P136" s="58"/>
      <c r="Q136" s="58"/>
      <c r="R136" s="58"/>
    </row>
    <row r="137" spans="1:18" ht="16.5" customHeight="1" outlineLevel="1" x14ac:dyDescent="0.3">
      <c r="A137" s="64">
        <v>1</v>
      </c>
      <c r="B137" s="64" t="s">
        <v>13</v>
      </c>
      <c r="C137" s="339" t="s">
        <v>674</v>
      </c>
      <c r="D137" s="328"/>
      <c r="E137" s="329"/>
      <c r="F137" s="64" t="s">
        <v>113</v>
      </c>
      <c r="G137" s="65">
        <v>41395</v>
      </c>
      <c r="H137" s="251" t="s">
        <v>675</v>
      </c>
      <c r="I137" s="252">
        <v>7450</v>
      </c>
      <c r="J137" s="256">
        <f t="shared" si="2"/>
        <v>7450</v>
      </c>
      <c r="K137" s="46" t="s">
        <v>472</v>
      </c>
      <c r="L137" s="58"/>
      <c r="M137" s="58"/>
      <c r="N137" s="58"/>
      <c r="O137" s="58"/>
      <c r="P137" s="58"/>
      <c r="Q137" s="58"/>
      <c r="R137" s="58"/>
    </row>
    <row r="138" spans="1:18" ht="16.5" customHeight="1" outlineLevel="1" x14ac:dyDescent="0.3">
      <c r="A138" s="64">
        <v>1</v>
      </c>
      <c r="B138" s="64" t="s">
        <v>13</v>
      </c>
      <c r="C138" s="267" t="s">
        <v>676</v>
      </c>
      <c r="D138" s="267"/>
      <c r="E138" s="267"/>
      <c r="F138" s="64" t="s">
        <v>113</v>
      </c>
      <c r="G138" s="71" t="s">
        <v>521</v>
      </c>
      <c r="H138" s="251" t="s">
        <v>677</v>
      </c>
      <c r="I138" s="252">
        <v>3000</v>
      </c>
      <c r="J138" s="256">
        <f t="shared" si="2"/>
        <v>3000</v>
      </c>
      <c r="K138" s="46" t="s">
        <v>472</v>
      </c>
      <c r="L138" s="58"/>
      <c r="M138" s="58"/>
      <c r="N138" s="58"/>
      <c r="O138" s="58"/>
      <c r="P138" s="58"/>
      <c r="Q138" s="58"/>
      <c r="R138" s="58"/>
    </row>
    <row r="139" spans="1:18" ht="16.5" customHeight="1" outlineLevel="1" x14ac:dyDescent="0.3">
      <c r="A139" s="64">
        <v>1</v>
      </c>
      <c r="B139" s="64" t="s">
        <v>13</v>
      </c>
      <c r="C139" s="267" t="s">
        <v>678</v>
      </c>
      <c r="D139" s="267"/>
      <c r="E139" s="267"/>
      <c r="F139" s="64" t="s">
        <v>113</v>
      </c>
      <c r="G139" s="71" t="s">
        <v>521</v>
      </c>
      <c r="H139" s="251" t="s">
        <v>679</v>
      </c>
      <c r="I139" s="252">
        <v>4920</v>
      </c>
      <c r="J139" s="256">
        <f t="shared" si="2"/>
        <v>4920</v>
      </c>
      <c r="K139" s="46" t="s">
        <v>472</v>
      </c>
      <c r="L139" s="58"/>
      <c r="M139" s="58"/>
      <c r="N139" s="58"/>
      <c r="O139" s="58"/>
      <c r="P139" s="58"/>
      <c r="Q139" s="58"/>
      <c r="R139" s="58"/>
    </row>
    <row r="140" spans="1:18" ht="16.5" customHeight="1" outlineLevel="1" x14ac:dyDescent="0.3">
      <c r="A140" s="64">
        <v>1</v>
      </c>
      <c r="B140" s="64" t="s">
        <v>13</v>
      </c>
      <c r="C140" s="267" t="s">
        <v>680</v>
      </c>
      <c r="D140" s="267"/>
      <c r="E140" s="267"/>
      <c r="F140" s="64" t="s">
        <v>113</v>
      </c>
      <c r="G140" s="65">
        <v>41974</v>
      </c>
      <c r="H140" s="251" t="s">
        <v>681</v>
      </c>
      <c r="I140" s="252">
        <v>20000</v>
      </c>
      <c r="J140" s="256">
        <f t="shared" si="2"/>
        <v>20000</v>
      </c>
      <c r="K140" s="46" t="s">
        <v>682</v>
      </c>
      <c r="L140" s="58"/>
      <c r="M140" s="58"/>
      <c r="N140" s="58"/>
      <c r="O140" s="58"/>
      <c r="P140" s="58"/>
      <c r="Q140" s="58"/>
      <c r="R140" s="58"/>
    </row>
    <row r="141" spans="1:18" ht="16.5" customHeight="1" outlineLevel="1" x14ac:dyDescent="0.3">
      <c r="A141" s="64">
        <v>1</v>
      </c>
      <c r="B141" s="64" t="s">
        <v>13</v>
      </c>
      <c r="C141" s="339" t="s">
        <v>643</v>
      </c>
      <c r="D141" s="328"/>
      <c r="E141" s="329"/>
      <c r="F141" s="64" t="s">
        <v>113</v>
      </c>
      <c r="G141" s="65">
        <v>40878</v>
      </c>
      <c r="H141" s="64" t="s">
        <v>683</v>
      </c>
      <c r="I141" s="252">
        <v>48900</v>
      </c>
      <c r="J141" s="256">
        <f t="shared" si="2"/>
        <v>48900</v>
      </c>
      <c r="K141" s="46" t="s">
        <v>684</v>
      </c>
      <c r="L141" s="58"/>
      <c r="M141" s="58"/>
      <c r="N141" s="58"/>
      <c r="O141" s="58"/>
      <c r="P141" s="58"/>
      <c r="Q141" s="58"/>
      <c r="R141" s="58"/>
    </row>
    <row r="142" spans="1:18" ht="16.5" customHeight="1" outlineLevel="1" x14ac:dyDescent="0.3">
      <c r="A142" s="64">
        <v>1</v>
      </c>
      <c r="B142" s="64" t="s">
        <v>13</v>
      </c>
      <c r="C142" s="339" t="s">
        <v>685</v>
      </c>
      <c r="D142" s="328"/>
      <c r="E142" s="329"/>
      <c r="F142" s="65" t="s">
        <v>113</v>
      </c>
      <c r="G142" s="65">
        <v>42248</v>
      </c>
      <c r="H142" s="104" t="s">
        <v>686</v>
      </c>
      <c r="I142" s="252">
        <v>54800</v>
      </c>
      <c r="J142" s="256">
        <f t="shared" si="2"/>
        <v>54800</v>
      </c>
      <c r="K142" s="46" t="s">
        <v>46</v>
      </c>
      <c r="L142" s="58"/>
      <c r="M142" s="58"/>
      <c r="N142" s="58"/>
      <c r="O142" s="58"/>
      <c r="P142" s="58"/>
      <c r="Q142" s="58"/>
      <c r="R142" s="58"/>
    </row>
    <row r="143" spans="1:18" ht="14.25" customHeight="1" outlineLevel="1" x14ac:dyDescent="0.3">
      <c r="A143" s="17">
        <v>1</v>
      </c>
      <c r="B143" s="17" t="s">
        <v>13</v>
      </c>
      <c r="C143" s="327" t="s">
        <v>687</v>
      </c>
      <c r="D143" s="328"/>
      <c r="E143" s="329"/>
      <c r="F143" s="17" t="s">
        <v>113</v>
      </c>
      <c r="G143" s="24">
        <v>42248</v>
      </c>
      <c r="H143" s="17" t="s">
        <v>688</v>
      </c>
      <c r="I143" s="29">
        <v>10800</v>
      </c>
      <c r="J143" s="256">
        <f t="shared" si="2"/>
        <v>10800</v>
      </c>
      <c r="K143" s="46" t="s">
        <v>54</v>
      </c>
      <c r="L143" s="21"/>
      <c r="M143" s="21"/>
      <c r="N143" s="21"/>
      <c r="O143" s="21"/>
      <c r="P143" s="21"/>
      <c r="Q143" s="21"/>
      <c r="R143" s="21"/>
    </row>
    <row r="144" spans="1:18" ht="16.5" customHeight="1" outlineLevel="1" x14ac:dyDescent="0.3">
      <c r="A144" s="64">
        <v>1</v>
      </c>
      <c r="B144" s="64" t="s">
        <v>103</v>
      </c>
      <c r="C144" s="339" t="s">
        <v>689</v>
      </c>
      <c r="D144" s="328"/>
      <c r="E144" s="329"/>
      <c r="F144" s="64" t="s">
        <v>113</v>
      </c>
      <c r="G144" s="65">
        <v>41852</v>
      </c>
      <c r="H144" s="64" t="s">
        <v>690</v>
      </c>
      <c r="I144" s="257">
        <v>10000</v>
      </c>
      <c r="J144" s="256">
        <f t="shared" si="2"/>
        <v>10000</v>
      </c>
      <c r="K144" s="46" t="s">
        <v>46</v>
      </c>
      <c r="L144" s="58"/>
      <c r="M144" s="58"/>
      <c r="N144" s="58"/>
      <c r="O144" s="58"/>
      <c r="P144" s="58"/>
      <c r="Q144" s="58"/>
      <c r="R144" s="58"/>
    </row>
    <row r="145" spans="1:18" ht="16.5" customHeight="1" outlineLevel="1" x14ac:dyDescent="0.3">
      <c r="A145" s="64">
        <v>1</v>
      </c>
      <c r="B145" s="64" t="s">
        <v>13</v>
      </c>
      <c r="C145" s="339" t="s">
        <v>691</v>
      </c>
      <c r="D145" s="328"/>
      <c r="E145" s="329"/>
      <c r="F145" s="64" t="s">
        <v>113</v>
      </c>
      <c r="G145" s="65">
        <v>41548</v>
      </c>
      <c r="H145" s="64" t="s">
        <v>692</v>
      </c>
      <c r="I145" s="257">
        <v>41000</v>
      </c>
      <c r="J145" s="256">
        <f t="shared" si="2"/>
        <v>41000</v>
      </c>
      <c r="K145" s="46" t="s">
        <v>46</v>
      </c>
      <c r="L145" s="58"/>
      <c r="M145" s="58"/>
      <c r="N145" s="58"/>
      <c r="O145" s="58"/>
      <c r="P145" s="58"/>
      <c r="Q145" s="58"/>
      <c r="R145" s="58"/>
    </row>
    <row r="146" spans="1:18" ht="16.5" customHeight="1" outlineLevel="1" x14ac:dyDescent="0.3">
      <c r="A146" s="64">
        <v>1</v>
      </c>
      <c r="B146" s="64" t="s">
        <v>13</v>
      </c>
      <c r="C146" s="339" t="s">
        <v>693</v>
      </c>
      <c r="D146" s="328"/>
      <c r="E146" s="329"/>
      <c r="F146" s="64" t="s">
        <v>113</v>
      </c>
      <c r="G146" s="65">
        <v>40787</v>
      </c>
      <c r="H146" s="251" t="s">
        <v>694</v>
      </c>
      <c r="I146" s="252">
        <v>18500</v>
      </c>
      <c r="J146" s="256">
        <f t="shared" si="2"/>
        <v>18500</v>
      </c>
      <c r="K146" s="46" t="s">
        <v>41</v>
      </c>
      <c r="L146" s="58"/>
      <c r="M146" s="58"/>
      <c r="N146" s="58"/>
      <c r="O146" s="58"/>
      <c r="P146" s="58"/>
      <c r="Q146" s="58"/>
      <c r="R146" s="58"/>
    </row>
    <row r="147" spans="1:18" ht="16.5" customHeight="1" outlineLevel="1" x14ac:dyDescent="0.3">
      <c r="A147" s="64">
        <v>1</v>
      </c>
      <c r="B147" s="64" t="s">
        <v>13</v>
      </c>
      <c r="C147" s="339" t="s">
        <v>695</v>
      </c>
      <c r="D147" s="328"/>
      <c r="E147" s="329"/>
      <c r="F147" s="64" t="s">
        <v>113</v>
      </c>
      <c r="G147" s="71" t="s">
        <v>83</v>
      </c>
      <c r="H147" s="251" t="s">
        <v>696</v>
      </c>
      <c r="I147" s="252">
        <v>10000</v>
      </c>
      <c r="J147" s="256">
        <f t="shared" si="2"/>
        <v>10000</v>
      </c>
      <c r="K147" s="46" t="s">
        <v>41</v>
      </c>
      <c r="L147" s="58"/>
      <c r="M147" s="58"/>
      <c r="N147" s="58"/>
      <c r="O147" s="58"/>
      <c r="P147" s="58"/>
      <c r="Q147" s="58"/>
      <c r="R147" s="58"/>
    </row>
    <row r="148" spans="1:18" ht="16.5" customHeight="1" outlineLevel="1" x14ac:dyDescent="0.3">
      <c r="A148" s="64">
        <v>1</v>
      </c>
      <c r="B148" s="64" t="s">
        <v>13</v>
      </c>
      <c r="C148" s="339" t="s">
        <v>697</v>
      </c>
      <c r="D148" s="328"/>
      <c r="E148" s="329"/>
      <c r="F148" s="64" t="s">
        <v>113</v>
      </c>
      <c r="G148" s="71" t="s">
        <v>83</v>
      </c>
      <c r="H148" s="251" t="s">
        <v>698</v>
      </c>
      <c r="I148" s="252">
        <v>10000</v>
      </c>
      <c r="J148" s="256">
        <f t="shared" si="2"/>
        <v>10000</v>
      </c>
      <c r="K148" s="46" t="s">
        <v>41</v>
      </c>
      <c r="L148" s="58"/>
      <c r="M148" s="58"/>
      <c r="N148" s="58"/>
      <c r="O148" s="58"/>
      <c r="P148" s="58"/>
      <c r="Q148" s="58"/>
      <c r="R148" s="58"/>
    </row>
    <row r="149" spans="1:18" ht="16.5" customHeight="1" outlineLevel="1" x14ac:dyDescent="0.3">
      <c r="A149" s="64">
        <v>1</v>
      </c>
      <c r="B149" s="64" t="s">
        <v>13</v>
      </c>
      <c r="C149" s="267" t="s">
        <v>699</v>
      </c>
      <c r="D149" s="267"/>
      <c r="E149" s="267"/>
      <c r="F149" s="64" t="s">
        <v>113</v>
      </c>
      <c r="G149" s="71" t="s">
        <v>83</v>
      </c>
      <c r="H149" s="251" t="s">
        <v>700</v>
      </c>
      <c r="I149" s="252">
        <v>10000</v>
      </c>
      <c r="J149" s="256">
        <f t="shared" si="2"/>
        <v>10000</v>
      </c>
      <c r="K149" s="46" t="s">
        <v>41</v>
      </c>
      <c r="L149" s="58"/>
      <c r="M149" s="58"/>
      <c r="N149" s="58"/>
      <c r="O149" s="58"/>
      <c r="P149" s="58"/>
      <c r="Q149" s="58"/>
      <c r="R149" s="58"/>
    </row>
    <row r="150" spans="1:18" ht="16.5" customHeight="1" outlineLevel="1" x14ac:dyDescent="0.3">
      <c r="A150" s="64">
        <v>1</v>
      </c>
      <c r="B150" s="64" t="s">
        <v>13</v>
      </c>
      <c r="C150" s="267" t="s">
        <v>701</v>
      </c>
      <c r="D150" s="267"/>
      <c r="E150" s="267"/>
      <c r="F150" s="64" t="s">
        <v>113</v>
      </c>
      <c r="G150" s="71" t="s">
        <v>83</v>
      </c>
      <c r="H150" s="251" t="s">
        <v>702</v>
      </c>
      <c r="I150" s="252">
        <v>10000</v>
      </c>
      <c r="J150" s="256">
        <f t="shared" si="2"/>
        <v>10000</v>
      </c>
      <c r="K150" s="46" t="s">
        <v>41</v>
      </c>
      <c r="L150" s="58"/>
      <c r="M150" s="58"/>
      <c r="N150" s="58"/>
      <c r="O150" s="58"/>
      <c r="P150" s="58"/>
      <c r="Q150" s="58"/>
      <c r="R150" s="58"/>
    </row>
    <row r="151" spans="1:18" ht="16.5" customHeight="1" outlineLevel="1" x14ac:dyDescent="0.3">
      <c r="A151" s="64">
        <v>1</v>
      </c>
      <c r="B151" s="64" t="s">
        <v>96</v>
      </c>
      <c r="C151" s="339" t="s">
        <v>703</v>
      </c>
      <c r="D151" s="328"/>
      <c r="E151" s="329"/>
      <c r="F151" s="64" t="s">
        <v>113</v>
      </c>
      <c r="G151" s="71" t="s">
        <v>485</v>
      </c>
      <c r="H151" s="251" t="s">
        <v>704</v>
      </c>
      <c r="I151" s="252">
        <v>0</v>
      </c>
      <c r="J151" s="256">
        <f t="shared" si="2"/>
        <v>0</v>
      </c>
      <c r="K151" s="46" t="s">
        <v>705</v>
      </c>
      <c r="L151" s="58"/>
      <c r="M151" s="58"/>
      <c r="N151" s="58"/>
      <c r="O151" s="58"/>
      <c r="P151" s="58"/>
      <c r="Q151" s="58"/>
      <c r="R151" s="58"/>
    </row>
    <row r="152" spans="1:18" ht="16.5" customHeight="1" outlineLevel="1" x14ac:dyDescent="0.3">
      <c r="A152" s="64">
        <v>1</v>
      </c>
      <c r="B152" s="64" t="s">
        <v>706</v>
      </c>
      <c r="C152" s="339" t="s">
        <v>707</v>
      </c>
      <c r="D152" s="328"/>
      <c r="E152" s="329"/>
      <c r="F152" s="64" t="s">
        <v>113</v>
      </c>
      <c r="G152" s="65">
        <v>41791</v>
      </c>
      <c r="H152" s="251" t="s">
        <v>708</v>
      </c>
      <c r="I152" s="252">
        <v>39500</v>
      </c>
      <c r="J152" s="256">
        <f t="shared" si="2"/>
        <v>39500</v>
      </c>
      <c r="K152" s="46" t="s">
        <v>41</v>
      </c>
      <c r="L152" s="58"/>
      <c r="M152" s="58"/>
      <c r="N152" s="58"/>
      <c r="O152" s="58"/>
      <c r="P152" s="58"/>
      <c r="Q152" s="58"/>
      <c r="R152" s="58"/>
    </row>
    <row r="153" spans="1:18" ht="16.5" customHeight="1" outlineLevel="1" x14ac:dyDescent="0.3">
      <c r="A153" s="64">
        <v>1</v>
      </c>
      <c r="B153" s="64" t="s">
        <v>13</v>
      </c>
      <c r="C153" s="339" t="s">
        <v>709</v>
      </c>
      <c r="D153" s="328"/>
      <c r="E153" s="329"/>
      <c r="F153" s="64" t="s">
        <v>113</v>
      </c>
      <c r="G153" s="65" t="s">
        <v>710</v>
      </c>
      <c r="H153" s="251" t="s">
        <v>711</v>
      </c>
      <c r="I153" s="252">
        <v>10000</v>
      </c>
      <c r="J153" s="256">
        <f t="shared" si="2"/>
        <v>10000</v>
      </c>
      <c r="K153" s="46" t="s">
        <v>41</v>
      </c>
      <c r="L153" s="58"/>
      <c r="M153" s="58"/>
      <c r="N153" s="58"/>
      <c r="O153" s="58"/>
      <c r="P153" s="58"/>
      <c r="Q153" s="58"/>
      <c r="R153" s="58"/>
    </row>
    <row r="154" spans="1:18" ht="16.5" customHeight="1" outlineLevel="1" x14ac:dyDescent="0.3">
      <c r="A154" s="64">
        <v>1</v>
      </c>
      <c r="B154" s="64" t="s">
        <v>96</v>
      </c>
      <c r="C154" s="339" t="s">
        <v>712</v>
      </c>
      <c r="D154" s="328"/>
      <c r="E154" s="329"/>
      <c r="F154" s="64" t="s">
        <v>113</v>
      </c>
      <c r="G154" s="65" t="s">
        <v>713</v>
      </c>
      <c r="H154" s="251" t="s">
        <v>714</v>
      </c>
      <c r="I154" s="252">
        <v>39000</v>
      </c>
      <c r="J154" s="256">
        <f t="shared" si="2"/>
        <v>39000</v>
      </c>
      <c r="K154" s="46" t="s">
        <v>41</v>
      </c>
      <c r="L154" s="58"/>
      <c r="M154" s="58"/>
      <c r="N154" s="58"/>
      <c r="O154" s="58"/>
      <c r="P154" s="58"/>
      <c r="Q154" s="58"/>
      <c r="R154" s="58"/>
    </row>
    <row r="155" spans="1:18" ht="16.5" customHeight="1" outlineLevel="1" x14ac:dyDescent="0.3">
      <c r="A155" s="64">
        <v>1</v>
      </c>
      <c r="B155" s="64" t="s">
        <v>13</v>
      </c>
      <c r="C155" s="339" t="s">
        <v>653</v>
      </c>
      <c r="D155" s="328"/>
      <c r="E155" s="329"/>
      <c r="F155" s="64" t="s">
        <v>113</v>
      </c>
      <c r="G155" s="65">
        <v>40513</v>
      </c>
      <c r="H155" s="251" t="s">
        <v>715</v>
      </c>
      <c r="I155" s="257">
        <v>22500</v>
      </c>
      <c r="J155" s="256">
        <f t="shared" si="2"/>
        <v>22500</v>
      </c>
      <c r="K155" s="46" t="s">
        <v>225</v>
      </c>
      <c r="L155" s="58"/>
      <c r="M155" s="58"/>
      <c r="N155" s="58"/>
      <c r="O155" s="58"/>
      <c r="P155" s="58"/>
      <c r="Q155" s="58"/>
      <c r="R155" s="58"/>
    </row>
    <row r="156" spans="1:18" ht="14.25" customHeight="1" outlineLevel="1" x14ac:dyDescent="0.3">
      <c r="A156" s="64">
        <v>1</v>
      </c>
      <c r="B156" s="64" t="s">
        <v>13</v>
      </c>
      <c r="C156" s="339" t="s">
        <v>716</v>
      </c>
      <c r="D156" s="328"/>
      <c r="E156" s="329"/>
      <c r="F156" s="64" t="s">
        <v>113</v>
      </c>
      <c r="G156" s="65">
        <v>40787</v>
      </c>
      <c r="H156" s="251" t="s">
        <v>717</v>
      </c>
      <c r="I156" s="252">
        <v>7900</v>
      </c>
      <c r="J156" s="256">
        <f t="shared" si="2"/>
        <v>7900</v>
      </c>
      <c r="K156" s="46" t="s">
        <v>67</v>
      </c>
      <c r="L156" s="21"/>
      <c r="M156" s="21"/>
      <c r="N156" s="21"/>
      <c r="O156" s="21"/>
      <c r="P156" s="21"/>
      <c r="Q156" s="21"/>
      <c r="R156" s="21"/>
    </row>
    <row r="157" spans="1:18" ht="14.25" customHeight="1" outlineLevel="1" x14ac:dyDescent="0.3">
      <c r="A157" s="64">
        <v>1</v>
      </c>
      <c r="B157" s="64" t="s">
        <v>13</v>
      </c>
      <c r="C157" s="339" t="s">
        <v>718</v>
      </c>
      <c r="D157" s="328"/>
      <c r="E157" s="329"/>
      <c r="F157" s="64" t="s">
        <v>113</v>
      </c>
      <c r="G157" s="65"/>
      <c r="H157" s="251" t="s">
        <v>719</v>
      </c>
      <c r="I157" s="252"/>
      <c r="J157" s="256">
        <f t="shared" si="2"/>
        <v>0</v>
      </c>
      <c r="K157" s="46" t="s">
        <v>67</v>
      </c>
      <c r="L157" s="21"/>
      <c r="M157" s="21"/>
      <c r="N157" s="21"/>
      <c r="O157" s="21"/>
      <c r="P157" s="21"/>
      <c r="Q157" s="21"/>
      <c r="R157" s="21"/>
    </row>
    <row r="158" spans="1:18" ht="16.5" customHeight="1" x14ac:dyDescent="0.3">
      <c r="A158" s="366" t="s">
        <v>244</v>
      </c>
      <c r="B158" s="331"/>
      <c r="C158" s="331"/>
      <c r="D158" s="331"/>
      <c r="E158" s="331"/>
      <c r="F158" s="331"/>
      <c r="G158" s="331"/>
      <c r="H158" s="332"/>
      <c r="I158" s="265"/>
      <c r="J158" s="260">
        <f>SUM(J114:J157)</f>
        <v>974537</v>
      </c>
      <c r="K158" s="266"/>
      <c r="L158" s="58"/>
      <c r="M158" s="58"/>
      <c r="N158" s="58"/>
      <c r="O158" s="58"/>
      <c r="P158" s="58"/>
      <c r="Q158" s="58"/>
      <c r="R158" s="58"/>
    </row>
    <row r="159" spans="1:18" ht="16.5" customHeight="1" outlineLevel="1" x14ac:dyDescent="0.3">
      <c r="A159" s="64">
        <v>1</v>
      </c>
      <c r="B159" s="64" t="s">
        <v>13</v>
      </c>
      <c r="C159" s="339" t="s">
        <v>720</v>
      </c>
      <c r="D159" s="328"/>
      <c r="E159" s="329"/>
      <c r="F159" s="64" t="s">
        <v>246</v>
      </c>
      <c r="G159" s="65">
        <v>39417</v>
      </c>
      <c r="H159" s="251" t="s">
        <v>721</v>
      </c>
      <c r="I159" s="269">
        <v>25000</v>
      </c>
      <c r="J159" s="269">
        <f t="shared" ref="J159:J161" si="3">A159*I159</f>
        <v>25000</v>
      </c>
      <c r="K159" s="270" t="s">
        <v>21</v>
      </c>
      <c r="L159" s="58"/>
      <c r="M159" s="58"/>
      <c r="N159" s="58"/>
      <c r="O159" s="58"/>
      <c r="P159" s="58"/>
      <c r="Q159" s="58"/>
      <c r="R159" s="58"/>
    </row>
    <row r="160" spans="1:18" ht="16.5" customHeight="1" outlineLevel="1" x14ac:dyDescent="0.3">
      <c r="A160" s="64">
        <v>1</v>
      </c>
      <c r="B160" s="64" t="s">
        <v>13</v>
      </c>
      <c r="C160" s="339" t="s">
        <v>722</v>
      </c>
      <c r="D160" s="328"/>
      <c r="E160" s="329"/>
      <c r="F160" s="64" t="s">
        <v>246</v>
      </c>
      <c r="G160" s="65">
        <v>42125</v>
      </c>
      <c r="H160" s="251" t="s">
        <v>723</v>
      </c>
      <c r="I160" s="269">
        <v>79500</v>
      </c>
      <c r="J160" s="269">
        <f t="shared" si="3"/>
        <v>79500</v>
      </c>
      <c r="K160" s="270" t="s">
        <v>21</v>
      </c>
      <c r="L160" s="58"/>
      <c r="M160" s="58"/>
      <c r="N160" s="58"/>
      <c r="O160" s="58"/>
      <c r="P160" s="58"/>
      <c r="Q160" s="58"/>
      <c r="R160" s="58"/>
    </row>
    <row r="161" spans="1:18" ht="16.5" customHeight="1" outlineLevel="1" x14ac:dyDescent="0.3">
      <c r="A161" s="17">
        <v>1</v>
      </c>
      <c r="B161" s="17" t="s">
        <v>13</v>
      </c>
      <c r="C161" s="327" t="s">
        <v>724</v>
      </c>
      <c r="D161" s="328"/>
      <c r="E161" s="329"/>
      <c r="F161" s="64" t="s">
        <v>246</v>
      </c>
      <c r="G161" s="24">
        <v>42125</v>
      </c>
      <c r="H161" s="251" t="s">
        <v>725</v>
      </c>
      <c r="I161" s="271">
        <v>55500</v>
      </c>
      <c r="J161" s="269">
        <f t="shared" si="3"/>
        <v>55500</v>
      </c>
      <c r="K161" s="270" t="s">
        <v>21</v>
      </c>
      <c r="L161" s="58"/>
      <c r="M161" s="58"/>
      <c r="N161" s="58"/>
      <c r="O161" s="58"/>
      <c r="P161" s="58"/>
      <c r="Q161" s="58"/>
      <c r="R161" s="58"/>
    </row>
    <row r="162" spans="1:18" ht="16.5" customHeight="1" x14ac:dyDescent="0.3">
      <c r="A162" s="369" t="s">
        <v>253</v>
      </c>
      <c r="B162" s="331"/>
      <c r="C162" s="331"/>
      <c r="D162" s="331"/>
      <c r="E162" s="331"/>
      <c r="F162" s="331"/>
      <c r="G162" s="331"/>
      <c r="H162" s="332"/>
      <c r="I162" s="272"/>
      <c r="J162" s="273">
        <f>SUM(J159:J161)</f>
        <v>160000</v>
      </c>
      <c r="K162" s="274"/>
      <c r="L162" s="58"/>
      <c r="M162" s="58"/>
      <c r="N162" s="58"/>
      <c r="O162" s="58"/>
      <c r="P162" s="58"/>
      <c r="Q162" s="58"/>
      <c r="R162" s="58"/>
    </row>
    <row r="163" spans="1:18" ht="14.25" customHeight="1" outlineLevel="1" x14ac:dyDescent="0.3">
      <c r="A163" s="64">
        <v>1</v>
      </c>
      <c r="B163" s="64" t="s">
        <v>22</v>
      </c>
      <c r="C163" s="267" t="s">
        <v>726</v>
      </c>
      <c r="D163" s="267"/>
      <c r="E163" s="267"/>
      <c r="F163" s="17" t="s">
        <v>319</v>
      </c>
      <c r="G163" s="65">
        <v>41244</v>
      </c>
      <c r="H163" s="251" t="s">
        <v>727</v>
      </c>
      <c r="I163" s="257">
        <v>4500</v>
      </c>
      <c r="J163" s="257">
        <f t="shared" ref="J163:J182" si="4">A163*I163</f>
        <v>4500</v>
      </c>
      <c r="K163" s="253" t="s">
        <v>21</v>
      </c>
      <c r="L163" s="21"/>
      <c r="M163" s="21"/>
      <c r="N163" s="21"/>
      <c r="O163" s="21"/>
      <c r="P163" s="21"/>
      <c r="Q163" s="21"/>
      <c r="R163" s="21"/>
    </row>
    <row r="164" spans="1:18" ht="14.25" customHeight="1" outlineLevel="1" x14ac:dyDescent="0.3">
      <c r="A164" s="64">
        <v>1</v>
      </c>
      <c r="B164" s="64" t="s">
        <v>13</v>
      </c>
      <c r="C164" s="367" t="s">
        <v>728</v>
      </c>
      <c r="D164" s="328"/>
      <c r="E164" s="329"/>
      <c r="F164" s="64" t="s">
        <v>319</v>
      </c>
      <c r="G164" s="65">
        <v>41244</v>
      </c>
      <c r="H164" s="251" t="s">
        <v>729</v>
      </c>
      <c r="I164" s="257">
        <v>4500</v>
      </c>
      <c r="J164" s="257">
        <f t="shared" si="4"/>
        <v>4500</v>
      </c>
      <c r="K164" s="253" t="s">
        <v>21</v>
      </c>
      <c r="L164" s="21"/>
      <c r="M164" s="21"/>
      <c r="N164" s="21"/>
      <c r="O164" s="21"/>
      <c r="P164" s="21"/>
      <c r="Q164" s="21"/>
      <c r="R164" s="21"/>
    </row>
    <row r="165" spans="1:18" ht="14.25" customHeight="1" outlineLevel="1" x14ac:dyDescent="0.3">
      <c r="A165" s="28">
        <v>1</v>
      </c>
      <c r="B165" s="28" t="s">
        <v>13</v>
      </c>
      <c r="C165" s="370" t="s">
        <v>730</v>
      </c>
      <c r="D165" s="328"/>
      <c r="E165" s="329"/>
      <c r="F165" s="28" t="s">
        <v>319</v>
      </c>
      <c r="G165" s="254">
        <v>41244</v>
      </c>
      <c r="H165" s="247" t="s">
        <v>731</v>
      </c>
      <c r="I165" s="256">
        <v>4500</v>
      </c>
      <c r="J165" s="257">
        <f t="shared" si="4"/>
        <v>4500</v>
      </c>
      <c r="K165" s="249" t="s">
        <v>25</v>
      </c>
      <c r="L165" s="21"/>
      <c r="M165" s="21"/>
      <c r="N165" s="21"/>
      <c r="O165" s="21"/>
      <c r="P165" s="21"/>
      <c r="Q165" s="21"/>
      <c r="R165" s="21"/>
    </row>
    <row r="166" spans="1:18" ht="14.25" customHeight="1" outlineLevel="1" x14ac:dyDescent="0.3">
      <c r="A166" s="64">
        <v>1</v>
      </c>
      <c r="B166" s="64" t="s">
        <v>13</v>
      </c>
      <c r="C166" s="367" t="s">
        <v>726</v>
      </c>
      <c r="D166" s="328"/>
      <c r="E166" s="329"/>
      <c r="F166" s="64" t="s">
        <v>319</v>
      </c>
      <c r="G166" s="65">
        <v>41244</v>
      </c>
      <c r="H166" s="64" t="s">
        <v>732</v>
      </c>
      <c r="I166" s="252">
        <v>4500</v>
      </c>
      <c r="J166" s="257">
        <f t="shared" si="4"/>
        <v>4500</v>
      </c>
      <c r="K166" s="253" t="s">
        <v>153</v>
      </c>
      <c r="L166" s="21"/>
      <c r="M166" s="21"/>
      <c r="N166" s="21"/>
      <c r="O166" s="21"/>
      <c r="P166" s="21"/>
      <c r="Q166" s="21"/>
      <c r="R166" s="21"/>
    </row>
    <row r="167" spans="1:18" ht="14.25" customHeight="1" outlineLevel="1" x14ac:dyDescent="0.3">
      <c r="A167" s="64">
        <v>1</v>
      </c>
      <c r="B167" s="64" t="s">
        <v>13</v>
      </c>
      <c r="C167" s="367" t="s">
        <v>726</v>
      </c>
      <c r="D167" s="328"/>
      <c r="E167" s="329"/>
      <c r="F167" s="64" t="s">
        <v>319</v>
      </c>
      <c r="G167" s="65">
        <v>41244</v>
      </c>
      <c r="H167" s="251" t="s">
        <v>733</v>
      </c>
      <c r="I167" s="252">
        <v>4500</v>
      </c>
      <c r="J167" s="257">
        <f t="shared" si="4"/>
        <v>4500</v>
      </c>
      <c r="K167" s="253" t="s">
        <v>158</v>
      </c>
      <c r="L167" s="21"/>
      <c r="M167" s="21"/>
      <c r="N167" s="21"/>
      <c r="O167" s="21"/>
      <c r="P167" s="21"/>
      <c r="Q167" s="21"/>
      <c r="R167" s="21"/>
    </row>
    <row r="168" spans="1:18" ht="16.5" customHeight="1" outlineLevel="1" x14ac:dyDescent="0.3">
      <c r="A168" s="64">
        <v>1</v>
      </c>
      <c r="B168" s="64" t="s">
        <v>13</v>
      </c>
      <c r="C168" s="367" t="s">
        <v>734</v>
      </c>
      <c r="D168" s="328"/>
      <c r="E168" s="329"/>
      <c r="F168" s="64" t="s">
        <v>319</v>
      </c>
      <c r="G168" s="259" t="s">
        <v>83</v>
      </c>
      <c r="H168" s="64" t="s">
        <v>735</v>
      </c>
      <c r="I168" s="252">
        <v>18000</v>
      </c>
      <c r="J168" s="257">
        <f t="shared" si="4"/>
        <v>18000</v>
      </c>
      <c r="K168" s="46" t="s">
        <v>317</v>
      </c>
      <c r="L168" s="58"/>
      <c r="M168" s="58"/>
      <c r="N168" s="58"/>
      <c r="O168" s="58"/>
      <c r="P168" s="58"/>
      <c r="Q168" s="58"/>
      <c r="R168" s="58"/>
    </row>
    <row r="169" spans="1:18" ht="16.5" customHeight="1" outlineLevel="1" x14ac:dyDescent="0.3">
      <c r="A169" s="64">
        <v>5</v>
      </c>
      <c r="B169" s="64" t="s">
        <v>18</v>
      </c>
      <c r="C169" s="367" t="s">
        <v>736</v>
      </c>
      <c r="D169" s="328"/>
      <c r="E169" s="329"/>
      <c r="F169" s="64" t="s">
        <v>319</v>
      </c>
      <c r="G169" s="259" t="s">
        <v>737</v>
      </c>
      <c r="H169" s="64" t="s">
        <v>738</v>
      </c>
      <c r="I169" s="252">
        <v>5000</v>
      </c>
      <c r="J169" s="257">
        <f t="shared" si="4"/>
        <v>25000</v>
      </c>
      <c r="K169" s="46" t="s">
        <v>317</v>
      </c>
      <c r="L169" s="58"/>
      <c r="M169" s="58"/>
      <c r="N169" s="58"/>
      <c r="O169" s="58"/>
      <c r="P169" s="58"/>
      <c r="Q169" s="58"/>
      <c r="R169" s="58"/>
    </row>
    <row r="170" spans="1:18" ht="16.5" customHeight="1" outlineLevel="1" x14ac:dyDescent="0.3">
      <c r="A170" s="64">
        <v>1</v>
      </c>
      <c r="B170" s="64" t="s">
        <v>13</v>
      </c>
      <c r="C170" s="367" t="s">
        <v>739</v>
      </c>
      <c r="D170" s="328"/>
      <c r="E170" s="329"/>
      <c r="F170" s="64" t="s">
        <v>319</v>
      </c>
      <c r="G170" s="65">
        <v>41244</v>
      </c>
      <c r="H170" s="22" t="s">
        <v>740</v>
      </c>
      <c r="I170" s="252">
        <v>4500</v>
      </c>
      <c r="J170" s="257">
        <f t="shared" si="4"/>
        <v>4500</v>
      </c>
      <c r="K170" s="46" t="s">
        <v>31</v>
      </c>
      <c r="L170" s="58"/>
      <c r="M170" s="58"/>
      <c r="N170" s="58"/>
      <c r="O170" s="58"/>
      <c r="P170" s="58"/>
      <c r="Q170" s="58"/>
      <c r="R170" s="58"/>
    </row>
    <row r="171" spans="1:18" ht="16.5" customHeight="1" outlineLevel="1" x14ac:dyDescent="0.3">
      <c r="A171" s="64">
        <v>1</v>
      </c>
      <c r="B171" s="64" t="s">
        <v>13</v>
      </c>
      <c r="C171" s="367" t="s">
        <v>739</v>
      </c>
      <c r="D171" s="328"/>
      <c r="E171" s="329"/>
      <c r="F171" s="64" t="s">
        <v>319</v>
      </c>
      <c r="G171" s="65">
        <v>41244</v>
      </c>
      <c r="H171" s="251" t="s">
        <v>741</v>
      </c>
      <c r="I171" s="252">
        <v>4500</v>
      </c>
      <c r="J171" s="257">
        <f t="shared" si="4"/>
        <v>4500</v>
      </c>
      <c r="K171" s="46" t="s">
        <v>742</v>
      </c>
      <c r="L171" s="58"/>
      <c r="M171" s="58"/>
      <c r="N171" s="58"/>
      <c r="O171" s="58"/>
      <c r="P171" s="58"/>
      <c r="Q171" s="58"/>
      <c r="R171" s="58"/>
    </row>
    <row r="172" spans="1:18" ht="16.5" customHeight="1" outlineLevel="1" x14ac:dyDescent="0.3">
      <c r="A172" s="64">
        <v>3</v>
      </c>
      <c r="B172" s="64" t="s">
        <v>18</v>
      </c>
      <c r="C172" s="367" t="s">
        <v>743</v>
      </c>
      <c r="D172" s="328"/>
      <c r="E172" s="329"/>
      <c r="F172" s="64" t="s">
        <v>319</v>
      </c>
      <c r="G172" s="65">
        <v>41244</v>
      </c>
      <c r="H172" s="64" t="s">
        <v>744</v>
      </c>
      <c r="I172" s="252">
        <v>4500</v>
      </c>
      <c r="J172" s="257">
        <f t="shared" si="4"/>
        <v>13500</v>
      </c>
      <c r="K172" s="46" t="s">
        <v>46</v>
      </c>
      <c r="L172" s="58"/>
      <c r="M172" s="58"/>
      <c r="N172" s="58"/>
      <c r="O172" s="58"/>
      <c r="P172" s="58"/>
      <c r="Q172" s="58"/>
      <c r="R172" s="58"/>
    </row>
    <row r="173" spans="1:18" ht="16.5" customHeight="1" outlineLevel="1" x14ac:dyDescent="0.3">
      <c r="A173" s="64">
        <v>4</v>
      </c>
      <c r="B173" s="64" t="s">
        <v>18</v>
      </c>
      <c r="C173" s="367" t="s">
        <v>745</v>
      </c>
      <c r="D173" s="328"/>
      <c r="E173" s="329"/>
      <c r="F173" s="64" t="s">
        <v>319</v>
      </c>
      <c r="G173" s="65">
        <v>40330</v>
      </c>
      <c r="H173" s="64" t="s">
        <v>746</v>
      </c>
      <c r="I173" s="252">
        <v>50000</v>
      </c>
      <c r="J173" s="257">
        <f t="shared" si="4"/>
        <v>200000</v>
      </c>
      <c r="K173" s="46" t="s">
        <v>46</v>
      </c>
      <c r="L173" s="58"/>
      <c r="M173" s="58"/>
      <c r="N173" s="58"/>
      <c r="O173" s="58"/>
      <c r="P173" s="58"/>
      <c r="Q173" s="58"/>
      <c r="R173" s="58"/>
    </row>
    <row r="174" spans="1:18" ht="14.25" customHeight="1" outlineLevel="1" x14ac:dyDescent="0.3">
      <c r="A174" s="17">
        <v>1</v>
      </c>
      <c r="B174" s="17" t="s">
        <v>13</v>
      </c>
      <c r="C174" s="368" t="s">
        <v>747</v>
      </c>
      <c r="D174" s="328"/>
      <c r="E174" s="329"/>
      <c r="F174" s="17" t="s">
        <v>319</v>
      </c>
      <c r="G174" s="24">
        <v>39965</v>
      </c>
      <c r="H174" s="17" t="s">
        <v>748</v>
      </c>
      <c r="I174" s="29">
        <f>228900+6191.22</f>
        <v>235091.22</v>
      </c>
      <c r="J174" s="257">
        <f t="shared" si="4"/>
        <v>235091.22</v>
      </c>
      <c r="K174" s="46" t="s">
        <v>46</v>
      </c>
      <c r="L174" s="21"/>
      <c r="M174" s="21"/>
      <c r="N174" s="21"/>
      <c r="O174" s="21"/>
      <c r="P174" s="21"/>
      <c r="Q174" s="21"/>
      <c r="R174" s="21"/>
    </row>
    <row r="175" spans="1:18" ht="16.5" customHeight="1" outlineLevel="1" x14ac:dyDescent="0.3">
      <c r="A175" s="64">
        <v>1</v>
      </c>
      <c r="B175" s="64" t="s">
        <v>13</v>
      </c>
      <c r="C175" s="367" t="s">
        <v>749</v>
      </c>
      <c r="D175" s="328"/>
      <c r="E175" s="329"/>
      <c r="F175" s="64" t="s">
        <v>319</v>
      </c>
      <c r="G175" s="65">
        <v>41244</v>
      </c>
      <c r="H175" s="64" t="s">
        <v>750</v>
      </c>
      <c r="I175" s="257">
        <v>4500</v>
      </c>
      <c r="J175" s="257">
        <f t="shared" si="4"/>
        <v>4500</v>
      </c>
      <c r="K175" s="46" t="s">
        <v>46</v>
      </c>
      <c r="L175" s="58"/>
      <c r="M175" s="58"/>
      <c r="N175" s="58"/>
      <c r="O175" s="58"/>
      <c r="P175" s="58"/>
      <c r="Q175" s="58"/>
      <c r="R175" s="58"/>
    </row>
    <row r="176" spans="1:18" ht="14.25" customHeight="1" outlineLevel="1" x14ac:dyDescent="0.3">
      <c r="A176" s="64">
        <v>1</v>
      </c>
      <c r="B176" s="64" t="s">
        <v>13</v>
      </c>
      <c r="C176" s="367" t="s">
        <v>751</v>
      </c>
      <c r="D176" s="328"/>
      <c r="E176" s="329"/>
      <c r="F176" s="64" t="s">
        <v>319</v>
      </c>
      <c r="G176" s="65">
        <v>41244</v>
      </c>
      <c r="H176" s="251" t="s">
        <v>752</v>
      </c>
      <c r="I176" s="252">
        <v>4500</v>
      </c>
      <c r="J176" s="257">
        <f t="shared" si="4"/>
        <v>4500</v>
      </c>
      <c r="K176" s="46" t="s">
        <v>41</v>
      </c>
      <c r="L176" s="21"/>
      <c r="M176" s="21"/>
      <c r="N176" s="21"/>
      <c r="O176" s="21"/>
      <c r="P176" s="21"/>
      <c r="Q176" s="21"/>
      <c r="R176" s="21"/>
    </row>
    <row r="177" spans="1:18" ht="16.5" customHeight="1" outlineLevel="1" x14ac:dyDescent="0.3">
      <c r="A177" s="64">
        <v>1</v>
      </c>
      <c r="B177" s="64" t="s">
        <v>13</v>
      </c>
      <c r="C177" s="367" t="s">
        <v>749</v>
      </c>
      <c r="D177" s="328"/>
      <c r="E177" s="329"/>
      <c r="F177" s="64" t="s">
        <v>319</v>
      </c>
      <c r="G177" s="65">
        <v>41244</v>
      </c>
      <c r="H177" s="64" t="s">
        <v>753</v>
      </c>
      <c r="I177" s="252">
        <v>4500</v>
      </c>
      <c r="J177" s="257">
        <f t="shared" si="4"/>
        <v>4500</v>
      </c>
      <c r="K177" s="46" t="s">
        <v>742</v>
      </c>
      <c r="L177" s="58"/>
      <c r="M177" s="58"/>
      <c r="N177" s="58"/>
      <c r="O177" s="58"/>
      <c r="P177" s="58"/>
      <c r="Q177" s="58"/>
      <c r="R177" s="58"/>
    </row>
    <row r="178" spans="1:18" ht="16.5" customHeight="1" outlineLevel="1" x14ac:dyDescent="0.3">
      <c r="A178" s="64">
        <v>7</v>
      </c>
      <c r="B178" s="64" t="s">
        <v>18</v>
      </c>
      <c r="C178" s="367" t="s">
        <v>754</v>
      </c>
      <c r="D178" s="328"/>
      <c r="E178" s="329"/>
      <c r="F178" s="64" t="s">
        <v>319</v>
      </c>
      <c r="G178" s="65">
        <v>39934</v>
      </c>
      <c r="H178" s="251" t="s">
        <v>755</v>
      </c>
      <c r="I178" s="257">
        <v>9300</v>
      </c>
      <c r="J178" s="257">
        <f t="shared" si="4"/>
        <v>65100</v>
      </c>
      <c r="K178" s="46" t="s">
        <v>225</v>
      </c>
      <c r="L178" s="58"/>
      <c r="M178" s="58"/>
      <c r="N178" s="58"/>
      <c r="O178" s="58"/>
      <c r="P178" s="58"/>
      <c r="Q178" s="58"/>
      <c r="R178" s="58"/>
    </row>
    <row r="179" spans="1:18" ht="16.5" customHeight="1" outlineLevel="1" x14ac:dyDescent="0.3">
      <c r="A179" s="64">
        <v>6</v>
      </c>
      <c r="B179" s="64" t="s">
        <v>18</v>
      </c>
      <c r="C179" s="367" t="s">
        <v>749</v>
      </c>
      <c r="D179" s="328"/>
      <c r="E179" s="329"/>
      <c r="F179" s="64" t="s">
        <v>319</v>
      </c>
      <c r="G179" s="65">
        <v>41244</v>
      </c>
      <c r="H179" s="251" t="s">
        <v>756</v>
      </c>
      <c r="I179" s="257">
        <v>4500</v>
      </c>
      <c r="J179" s="257">
        <f t="shared" si="4"/>
        <v>27000</v>
      </c>
      <c r="K179" s="46" t="s">
        <v>225</v>
      </c>
      <c r="L179" s="58"/>
      <c r="M179" s="58"/>
      <c r="N179" s="58"/>
      <c r="O179" s="58"/>
      <c r="P179" s="58"/>
      <c r="Q179" s="58"/>
      <c r="R179" s="58"/>
    </row>
    <row r="180" spans="1:18" ht="16.5" customHeight="1" outlineLevel="1" x14ac:dyDescent="0.3">
      <c r="A180" s="64">
        <v>3</v>
      </c>
      <c r="B180" s="64" t="s">
        <v>18</v>
      </c>
      <c r="C180" s="367" t="s">
        <v>757</v>
      </c>
      <c r="D180" s="328"/>
      <c r="E180" s="329"/>
      <c r="F180" s="64" t="s">
        <v>319</v>
      </c>
      <c r="G180" s="65">
        <v>41913</v>
      </c>
      <c r="H180" s="64" t="s">
        <v>758</v>
      </c>
      <c r="I180" s="252">
        <v>11500</v>
      </c>
      <c r="J180" s="257">
        <f t="shared" si="4"/>
        <v>34500</v>
      </c>
      <c r="K180" s="46" t="s">
        <v>366</v>
      </c>
      <c r="L180" s="58"/>
      <c r="M180" s="58"/>
      <c r="N180" s="58"/>
      <c r="O180" s="58"/>
      <c r="P180" s="58"/>
      <c r="Q180" s="58"/>
      <c r="R180" s="58"/>
    </row>
    <row r="181" spans="1:18" ht="16.5" customHeight="1" outlineLevel="1" x14ac:dyDescent="0.3">
      <c r="A181" s="64">
        <v>6</v>
      </c>
      <c r="B181" s="64" t="s">
        <v>18</v>
      </c>
      <c r="C181" s="367" t="s">
        <v>749</v>
      </c>
      <c r="D181" s="328"/>
      <c r="E181" s="329"/>
      <c r="F181" s="64" t="s">
        <v>319</v>
      </c>
      <c r="G181" s="65">
        <v>41244</v>
      </c>
      <c r="H181" s="64" t="s">
        <v>759</v>
      </c>
      <c r="I181" s="252">
        <v>4500</v>
      </c>
      <c r="J181" s="257">
        <f t="shared" si="4"/>
        <v>27000</v>
      </c>
      <c r="K181" s="46" t="s">
        <v>742</v>
      </c>
      <c r="L181" s="58"/>
      <c r="M181" s="58"/>
      <c r="N181" s="58"/>
      <c r="O181" s="58"/>
      <c r="P181" s="58"/>
      <c r="Q181" s="58"/>
      <c r="R181" s="58"/>
    </row>
    <row r="182" spans="1:18" ht="16.5" customHeight="1" outlineLevel="1" x14ac:dyDescent="0.3">
      <c r="A182" s="64">
        <v>7</v>
      </c>
      <c r="B182" s="64" t="s">
        <v>18</v>
      </c>
      <c r="C182" s="258" t="s">
        <v>760</v>
      </c>
      <c r="D182" s="258"/>
      <c r="E182" s="258"/>
      <c r="F182" s="64" t="s">
        <v>319</v>
      </c>
      <c r="G182" s="65">
        <v>39934</v>
      </c>
      <c r="H182" s="64" t="s">
        <v>759</v>
      </c>
      <c r="I182" s="252">
        <v>9300</v>
      </c>
      <c r="J182" s="257">
        <f t="shared" si="4"/>
        <v>65100</v>
      </c>
      <c r="K182" s="46" t="s">
        <v>742</v>
      </c>
      <c r="L182" s="58"/>
      <c r="M182" s="58"/>
      <c r="N182" s="58"/>
      <c r="O182" s="58"/>
      <c r="P182" s="58"/>
      <c r="Q182" s="58"/>
      <c r="R182" s="58"/>
    </row>
    <row r="183" spans="1:18" ht="16.5" customHeight="1" x14ac:dyDescent="0.3">
      <c r="A183" s="366" t="s">
        <v>254</v>
      </c>
      <c r="B183" s="331"/>
      <c r="C183" s="331"/>
      <c r="D183" s="331"/>
      <c r="E183" s="331"/>
      <c r="F183" s="331"/>
      <c r="G183" s="331"/>
      <c r="H183" s="332"/>
      <c r="I183" s="265"/>
      <c r="J183" s="260">
        <f>SUM(J163:J182)</f>
        <v>755291.22</v>
      </c>
      <c r="K183" s="266"/>
      <c r="L183" s="58"/>
      <c r="M183" s="58"/>
      <c r="N183" s="58"/>
      <c r="O183" s="58"/>
      <c r="P183" s="58"/>
      <c r="Q183" s="58"/>
      <c r="R183" s="58"/>
    </row>
    <row r="184" spans="1:18" ht="16.5" customHeight="1" outlineLevel="1" x14ac:dyDescent="0.3">
      <c r="A184" s="17">
        <v>1</v>
      </c>
      <c r="B184" s="17" t="s">
        <v>103</v>
      </c>
      <c r="C184" s="327" t="s">
        <v>761</v>
      </c>
      <c r="D184" s="328"/>
      <c r="E184" s="329"/>
      <c r="F184" s="17" t="s">
        <v>256</v>
      </c>
      <c r="G184" s="69" t="s">
        <v>257</v>
      </c>
      <c r="H184" s="17" t="s">
        <v>762</v>
      </c>
      <c r="I184" s="57" t="s">
        <v>763</v>
      </c>
      <c r="J184" s="57">
        <f t="shared" ref="J184:J191" si="5">A184*I184</f>
        <v>12200</v>
      </c>
      <c r="K184" s="46" t="s">
        <v>317</v>
      </c>
      <c r="L184" s="58"/>
      <c r="M184" s="58"/>
      <c r="N184" s="58"/>
      <c r="O184" s="58"/>
      <c r="P184" s="58"/>
      <c r="Q184" s="58"/>
      <c r="R184" s="58"/>
    </row>
    <row r="185" spans="1:18" ht="16.5" customHeight="1" outlineLevel="1" x14ac:dyDescent="0.3">
      <c r="A185" s="17">
        <v>1</v>
      </c>
      <c r="B185" s="17" t="s">
        <v>13</v>
      </c>
      <c r="C185" s="327" t="s">
        <v>764</v>
      </c>
      <c r="D185" s="328"/>
      <c r="E185" s="329"/>
      <c r="F185" s="17" t="s">
        <v>256</v>
      </c>
      <c r="G185" s="17">
        <v>2014</v>
      </c>
      <c r="H185" s="104" t="s">
        <v>765</v>
      </c>
      <c r="I185" s="57" t="s">
        <v>766</v>
      </c>
      <c r="J185" s="57">
        <f t="shared" si="5"/>
        <v>922600</v>
      </c>
      <c r="K185" s="46" t="s">
        <v>317</v>
      </c>
      <c r="L185" s="58"/>
      <c r="M185" s="58"/>
      <c r="N185" s="58"/>
      <c r="O185" s="58"/>
      <c r="P185" s="58"/>
      <c r="Q185" s="58"/>
      <c r="R185" s="58"/>
    </row>
    <row r="186" spans="1:18" ht="16.5" customHeight="1" outlineLevel="1" x14ac:dyDescent="0.3">
      <c r="A186" s="17">
        <v>1</v>
      </c>
      <c r="B186" s="17" t="s">
        <v>13</v>
      </c>
      <c r="C186" s="327" t="s">
        <v>767</v>
      </c>
      <c r="D186" s="328"/>
      <c r="E186" s="329"/>
      <c r="F186" s="17" t="s">
        <v>256</v>
      </c>
      <c r="G186" s="69" t="s">
        <v>257</v>
      </c>
      <c r="H186" s="109" t="s">
        <v>768</v>
      </c>
      <c r="I186" s="57" t="s">
        <v>769</v>
      </c>
      <c r="J186" s="57">
        <f t="shared" si="5"/>
        <v>23500</v>
      </c>
      <c r="K186" s="46" t="s">
        <v>317</v>
      </c>
      <c r="L186" s="58"/>
      <c r="M186" s="58"/>
      <c r="N186" s="58"/>
      <c r="O186" s="58"/>
      <c r="P186" s="58"/>
      <c r="Q186" s="58"/>
      <c r="R186" s="58"/>
    </row>
    <row r="187" spans="1:18" ht="16.5" customHeight="1" outlineLevel="1" x14ac:dyDescent="0.3">
      <c r="A187" s="17">
        <v>1</v>
      </c>
      <c r="B187" s="17" t="s">
        <v>13</v>
      </c>
      <c r="C187" s="327" t="s">
        <v>767</v>
      </c>
      <c r="D187" s="328"/>
      <c r="E187" s="329"/>
      <c r="F187" s="17" t="s">
        <v>256</v>
      </c>
      <c r="G187" s="69" t="s">
        <v>231</v>
      </c>
      <c r="H187" s="109" t="s">
        <v>770</v>
      </c>
      <c r="I187" s="57">
        <v>18000</v>
      </c>
      <c r="J187" s="57">
        <f t="shared" si="5"/>
        <v>18000</v>
      </c>
      <c r="K187" s="46" t="s">
        <v>317</v>
      </c>
      <c r="L187" s="58"/>
      <c r="M187" s="58"/>
      <c r="N187" s="58"/>
      <c r="O187" s="58"/>
      <c r="P187" s="58"/>
      <c r="Q187" s="58"/>
      <c r="R187" s="58"/>
    </row>
    <row r="188" spans="1:18" ht="16.5" customHeight="1" outlineLevel="1" x14ac:dyDescent="0.3">
      <c r="A188" s="17">
        <v>2</v>
      </c>
      <c r="B188" s="17" t="s">
        <v>18</v>
      </c>
      <c r="C188" s="327" t="s">
        <v>771</v>
      </c>
      <c r="D188" s="328"/>
      <c r="E188" s="329"/>
      <c r="F188" s="17" t="s">
        <v>256</v>
      </c>
      <c r="G188" s="69" t="s">
        <v>772</v>
      </c>
      <c r="H188" s="104" t="s">
        <v>773</v>
      </c>
      <c r="I188" s="57">
        <f>134764/2</f>
        <v>67382</v>
      </c>
      <c r="J188" s="57">
        <f t="shared" si="5"/>
        <v>134764</v>
      </c>
      <c r="K188" s="46" t="s">
        <v>317</v>
      </c>
      <c r="L188" s="58"/>
      <c r="M188" s="58"/>
      <c r="N188" s="58"/>
      <c r="O188" s="58"/>
      <c r="P188" s="58"/>
      <c r="Q188" s="58"/>
      <c r="R188" s="58"/>
    </row>
    <row r="189" spans="1:18" ht="16.5" customHeight="1" outlineLevel="1" x14ac:dyDescent="0.3">
      <c r="A189" s="17">
        <v>1</v>
      </c>
      <c r="B189" s="17" t="s">
        <v>13</v>
      </c>
      <c r="C189" s="327" t="s">
        <v>516</v>
      </c>
      <c r="D189" s="328"/>
      <c r="E189" s="329"/>
      <c r="F189" s="17" t="s">
        <v>256</v>
      </c>
      <c r="G189" s="69" t="s">
        <v>269</v>
      </c>
      <c r="H189" s="104" t="s">
        <v>517</v>
      </c>
      <c r="I189" s="57">
        <v>8000</v>
      </c>
      <c r="J189" s="57">
        <f t="shared" si="5"/>
        <v>8000</v>
      </c>
      <c r="K189" s="46" t="s">
        <v>317</v>
      </c>
      <c r="L189" s="58"/>
      <c r="M189" s="58"/>
      <c r="N189" s="58"/>
      <c r="O189" s="58"/>
      <c r="P189" s="58"/>
      <c r="Q189" s="58"/>
      <c r="R189" s="58"/>
    </row>
    <row r="190" spans="1:18" ht="16.5" customHeight="1" outlineLevel="1" x14ac:dyDescent="0.3">
      <c r="A190" s="17">
        <v>1</v>
      </c>
      <c r="B190" s="17" t="s">
        <v>13</v>
      </c>
      <c r="C190" s="327" t="s">
        <v>767</v>
      </c>
      <c r="D190" s="328"/>
      <c r="E190" s="329"/>
      <c r="F190" s="17" t="s">
        <v>256</v>
      </c>
      <c r="G190" s="69" t="s">
        <v>269</v>
      </c>
      <c r="H190" s="104" t="s">
        <v>774</v>
      </c>
      <c r="I190" s="57">
        <v>16000</v>
      </c>
      <c r="J190" s="57">
        <f t="shared" si="5"/>
        <v>16000</v>
      </c>
      <c r="K190" s="46" t="s">
        <v>317</v>
      </c>
      <c r="L190" s="58"/>
      <c r="M190" s="58"/>
      <c r="N190" s="58"/>
      <c r="O190" s="58"/>
      <c r="P190" s="58"/>
      <c r="Q190" s="58"/>
      <c r="R190" s="58"/>
    </row>
    <row r="191" spans="1:18" ht="16.5" customHeight="1" outlineLevel="1" x14ac:dyDescent="0.3">
      <c r="A191" s="17">
        <v>1</v>
      </c>
      <c r="B191" s="17" t="s">
        <v>13</v>
      </c>
      <c r="C191" s="327" t="s">
        <v>775</v>
      </c>
      <c r="D191" s="328"/>
      <c r="E191" s="329"/>
      <c r="F191" s="17" t="s">
        <v>256</v>
      </c>
      <c r="G191" s="69" t="s">
        <v>776</v>
      </c>
      <c r="H191" s="104" t="s">
        <v>777</v>
      </c>
      <c r="I191" s="57">
        <v>292000</v>
      </c>
      <c r="J191" s="57">
        <f t="shared" si="5"/>
        <v>292000</v>
      </c>
      <c r="K191" s="46" t="s">
        <v>317</v>
      </c>
      <c r="L191" s="58"/>
      <c r="M191" s="58"/>
      <c r="N191" s="58"/>
      <c r="O191" s="58"/>
      <c r="P191" s="58"/>
      <c r="Q191" s="58"/>
      <c r="R191" s="58"/>
    </row>
    <row r="192" spans="1:18" ht="16.5" customHeight="1" x14ac:dyDescent="0.3">
      <c r="A192" s="366" t="s">
        <v>330</v>
      </c>
      <c r="B192" s="331"/>
      <c r="C192" s="331"/>
      <c r="D192" s="331"/>
      <c r="E192" s="331"/>
      <c r="F192" s="331"/>
      <c r="G192" s="331"/>
      <c r="H192" s="332"/>
      <c r="I192" s="265"/>
      <c r="J192" s="260">
        <f>SUM(J184:J191)</f>
        <v>1427064</v>
      </c>
      <c r="K192" s="266"/>
      <c r="L192" s="58"/>
      <c r="M192" s="58"/>
      <c r="N192" s="58"/>
      <c r="O192" s="58"/>
      <c r="P192" s="58"/>
      <c r="Q192" s="58"/>
      <c r="R192" s="58"/>
    </row>
    <row r="193" spans="1:18" ht="14.25" customHeight="1" x14ac:dyDescent="0.3">
      <c r="A193" s="64">
        <v>1</v>
      </c>
      <c r="B193" s="64" t="s">
        <v>13</v>
      </c>
      <c r="C193" s="339" t="s">
        <v>778</v>
      </c>
      <c r="D193" s="328"/>
      <c r="E193" s="329"/>
      <c r="F193" s="64" t="s">
        <v>332</v>
      </c>
      <c r="G193" s="65">
        <v>42248</v>
      </c>
      <c r="H193" s="64" t="s">
        <v>779</v>
      </c>
      <c r="I193" s="252">
        <v>6000</v>
      </c>
      <c r="J193" s="252">
        <f t="shared" ref="J193:J202" si="6">A193*I193</f>
        <v>6000</v>
      </c>
      <c r="K193" s="20" t="s">
        <v>28</v>
      </c>
      <c r="L193" s="21"/>
      <c r="M193" s="21"/>
      <c r="N193" s="21"/>
      <c r="O193" s="21"/>
      <c r="P193" s="21"/>
      <c r="Q193" s="21"/>
      <c r="R193" s="21"/>
    </row>
    <row r="194" spans="1:18" ht="14.25" customHeight="1" x14ac:dyDescent="0.3">
      <c r="A194" s="64">
        <v>1</v>
      </c>
      <c r="B194" s="64" t="s">
        <v>13</v>
      </c>
      <c r="C194" s="339" t="s">
        <v>778</v>
      </c>
      <c r="D194" s="328"/>
      <c r="E194" s="329"/>
      <c r="F194" s="64" t="s">
        <v>332</v>
      </c>
      <c r="G194" s="65">
        <v>40969</v>
      </c>
      <c r="H194" s="64" t="s">
        <v>780</v>
      </c>
      <c r="I194" s="252">
        <v>7000</v>
      </c>
      <c r="J194" s="252">
        <f t="shared" si="6"/>
        <v>7000</v>
      </c>
      <c r="K194" s="20" t="s">
        <v>28</v>
      </c>
      <c r="L194" s="21"/>
      <c r="M194" s="21"/>
      <c r="N194" s="21"/>
      <c r="O194" s="21"/>
      <c r="P194" s="21"/>
      <c r="Q194" s="21"/>
      <c r="R194" s="21"/>
    </row>
    <row r="195" spans="1:18" ht="14.25" customHeight="1" x14ac:dyDescent="0.3">
      <c r="A195" s="64">
        <v>2</v>
      </c>
      <c r="B195" s="64" t="s">
        <v>18</v>
      </c>
      <c r="C195" s="339" t="s">
        <v>781</v>
      </c>
      <c r="D195" s="328"/>
      <c r="E195" s="329"/>
      <c r="F195" s="64" t="s">
        <v>332</v>
      </c>
      <c r="G195" s="65">
        <v>41548</v>
      </c>
      <c r="H195" s="64" t="s">
        <v>782</v>
      </c>
      <c r="I195" s="252">
        <v>9650</v>
      </c>
      <c r="J195" s="252">
        <f t="shared" si="6"/>
        <v>19300</v>
      </c>
      <c r="K195" s="20" t="s">
        <v>28</v>
      </c>
      <c r="L195" s="21"/>
      <c r="M195" s="21"/>
      <c r="N195" s="21"/>
      <c r="O195" s="21"/>
      <c r="P195" s="21"/>
      <c r="Q195" s="21"/>
      <c r="R195" s="21"/>
    </row>
    <row r="196" spans="1:18" ht="14.25" customHeight="1" x14ac:dyDescent="0.3">
      <c r="A196" s="64">
        <v>2</v>
      </c>
      <c r="B196" s="64" t="s">
        <v>18</v>
      </c>
      <c r="C196" s="339" t="s">
        <v>783</v>
      </c>
      <c r="D196" s="328"/>
      <c r="E196" s="329"/>
      <c r="F196" s="64" t="s">
        <v>332</v>
      </c>
      <c r="G196" s="71" t="s">
        <v>231</v>
      </c>
      <c r="H196" s="64" t="s">
        <v>784</v>
      </c>
      <c r="I196" s="252">
        <v>24000</v>
      </c>
      <c r="J196" s="252">
        <f t="shared" si="6"/>
        <v>48000</v>
      </c>
      <c r="K196" s="20" t="s">
        <v>28</v>
      </c>
      <c r="L196" s="21"/>
      <c r="M196" s="21"/>
      <c r="N196" s="21"/>
      <c r="O196" s="21"/>
      <c r="P196" s="21"/>
      <c r="Q196" s="21"/>
      <c r="R196" s="21"/>
    </row>
    <row r="197" spans="1:18" ht="14.25" customHeight="1" x14ac:dyDescent="0.3">
      <c r="A197" s="64">
        <v>1</v>
      </c>
      <c r="B197" s="64" t="s">
        <v>13</v>
      </c>
      <c r="C197" s="339" t="s">
        <v>785</v>
      </c>
      <c r="D197" s="328"/>
      <c r="E197" s="329"/>
      <c r="F197" s="64" t="s">
        <v>332</v>
      </c>
      <c r="G197" s="65">
        <v>40969</v>
      </c>
      <c r="H197" s="64" t="s">
        <v>786</v>
      </c>
      <c r="I197" s="252">
        <v>22000</v>
      </c>
      <c r="J197" s="252">
        <f t="shared" si="6"/>
        <v>22000</v>
      </c>
      <c r="K197" s="20" t="s">
        <v>28</v>
      </c>
      <c r="L197" s="21"/>
      <c r="M197" s="21"/>
      <c r="N197" s="21"/>
      <c r="O197" s="21"/>
      <c r="P197" s="21"/>
      <c r="Q197" s="21"/>
      <c r="R197" s="21"/>
    </row>
    <row r="198" spans="1:18" ht="14.25" customHeight="1" x14ac:dyDescent="0.3">
      <c r="A198" s="64">
        <v>1</v>
      </c>
      <c r="B198" s="64" t="s">
        <v>13</v>
      </c>
      <c r="C198" s="339" t="s">
        <v>787</v>
      </c>
      <c r="D198" s="328"/>
      <c r="E198" s="329"/>
      <c r="F198" s="64" t="s">
        <v>332</v>
      </c>
      <c r="G198" s="71" t="s">
        <v>231</v>
      </c>
      <c r="H198" s="64" t="s">
        <v>788</v>
      </c>
      <c r="I198" s="252">
        <v>8000</v>
      </c>
      <c r="J198" s="252">
        <f t="shared" si="6"/>
        <v>8000</v>
      </c>
      <c r="K198" s="20" t="s">
        <v>28</v>
      </c>
      <c r="L198" s="21"/>
      <c r="M198" s="21"/>
      <c r="N198" s="21"/>
      <c r="O198" s="21"/>
      <c r="P198" s="21"/>
      <c r="Q198" s="21"/>
      <c r="R198" s="21"/>
    </row>
    <row r="199" spans="1:18" ht="14.25" customHeight="1" x14ac:dyDescent="0.3">
      <c r="A199" s="64">
        <v>1</v>
      </c>
      <c r="B199" s="64" t="s">
        <v>13</v>
      </c>
      <c r="C199" s="339" t="s">
        <v>789</v>
      </c>
      <c r="D199" s="328"/>
      <c r="E199" s="329"/>
      <c r="F199" s="64" t="s">
        <v>332</v>
      </c>
      <c r="G199" s="54">
        <v>42019</v>
      </c>
      <c r="H199" s="64" t="s">
        <v>790</v>
      </c>
      <c r="I199" s="23">
        <v>980</v>
      </c>
      <c r="J199" s="252">
        <f t="shared" si="6"/>
        <v>980</v>
      </c>
      <c r="K199" s="20" t="s">
        <v>28</v>
      </c>
      <c r="L199" s="21"/>
      <c r="M199" s="21"/>
      <c r="N199" s="21"/>
      <c r="O199" s="21"/>
      <c r="P199" s="21"/>
      <c r="Q199" s="21"/>
      <c r="R199" s="21"/>
    </row>
    <row r="200" spans="1:18" ht="14.25" customHeight="1" x14ac:dyDescent="0.3">
      <c r="A200" s="64">
        <v>1</v>
      </c>
      <c r="B200" s="64" t="s">
        <v>103</v>
      </c>
      <c r="C200" s="339" t="s">
        <v>791</v>
      </c>
      <c r="D200" s="328"/>
      <c r="E200" s="329"/>
      <c r="F200" s="64" t="s">
        <v>332</v>
      </c>
      <c r="G200" s="54">
        <v>42019</v>
      </c>
      <c r="H200" s="64" t="s">
        <v>792</v>
      </c>
      <c r="I200" s="23">
        <v>499</v>
      </c>
      <c r="J200" s="252">
        <f t="shared" si="6"/>
        <v>499</v>
      </c>
      <c r="K200" s="20" t="s">
        <v>28</v>
      </c>
      <c r="L200" s="21"/>
      <c r="M200" s="21"/>
      <c r="N200" s="21"/>
      <c r="O200" s="21"/>
      <c r="P200" s="21"/>
      <c r="Q200" s="21"/>
      <c r="R200" s="21"/>
    </row>
    <row r="201" spans="1:18" ht="14.25" customHeight="1" x14ac:dyDescent="0.3">
      <c r="A201" s="64">
        <v>1</v>
      </c>
      <c r="B201" s="64" t="s">
        <v>13</v>
      </c>
      <c r="C201" s="339" t="s">
        <v>793</v>
      </c>
      <c r="D201" s="328"/>
      <c r="E201" s="329"/>
      <c r="F201" s="64" t="s">
        <v>332</v>
      </c>
      <c r="G201" s="54">
        <v>42019</v>
      </c>
      <c r="H201" s="64" t="s">
        <v>794</v>
      </c>
      <c r="I201" s="23">
        <v>3856</v>
      </c>
      <c r="J201" s="252">
        <f t="shared" si="6"/>
        <v>3856</v>
      </c>
      <c r="K201" s="20" t="s">
        <v>28</v>
      </c>
      <c r="L201" s="21"/>
      <c r="M201" s="21"/>
      <c r="N201" s="21"/>
      <c r="O201" s="21"/>
      <c r="P201" s="21"/>
      <c r="Q201" s="21"/>
      <c r="R201" s="21"/>
    </row>
    <row r="202" spans="1:18" ht="14.25" customHeight="1" x14ac:dyDescent="0.3">
      <c r="A202" s="64">
        <v>6</v>
      </c>
      <c r="B202" s="64" t="s">
        <v>108</v>
      </c>
      <c r="C202" s="339" t="s">
        <v>795</v>
      </c>
      <c r="D202" s="328"/>
      <c r="E202" s="329"/>
      <c r="F202" s="64" t="s">
        <v>332</v>
      </c>
      <c r="G202" s="71" t="s">
        <v>521</v>
      </c>
      <c r="H202" s="64" t="s">
        <v>796</v>
      </c>
      <c r="I202" s="252">
        <v>20000</v>
      </c>
      <c r="J202" s="252">
        <f t="shared" si="6"/>
        <v>120000</v>
      </c>
      <c r="K202" s="20" t="s">
        <v>28</v>
      </c>
      <c r="L202" s="21"/>
      <c r="M202" s="21"/>
      <c r="N202" s="21"/>
      <c r="O202" s="21"/>
      <c r="P202" s="21"/>
      <c r="Q202" s="21"/>
      <c r="R202" s="21"/>
    </row>
    <row r="203" spans="1:18" ht="16.5" customHeight="1" x14ac:dyDescent="0.3">
      <c r="A203" s="366" t="s">
        <v>353</v>
      </c>
      <c r="B203" s="331"/>
      <c r="C203" s="331"/>
      <c r="D203" s="331"/>
      <c r="E203" s="331"/>
      <c r="F203" s="331"/>
      <c r="G203" s="331"/>
      <c r="H203" s="332"/>
      <c r="I203" s="265"/>
      <c r="J203" s="260">
        <f>SUM(J193:J202)</f>
        <v>235635</v>
      </c>
      <c r="K203" s="266"/>
      <c r="L203" s="58"/>
      <c r="M203" s="58"/>
      <c r="N203" s="58"/>
      <c r="O203" s="58"/>
      <c r="P203" s="58"/>
      <c r="Q203" s="58"/>
      <c r="R203" s="58"/>
    </row>
    <row r="204" spans="1:18" ht="16.5" customHeight="1" outlineLevel="1" x14ac:dyDescent="0.3">
      <c r="A204" s="64">
        <v>1</v>
      </c>
      <c r="B204" s="64" t="s">
        <v>13</v>
      </c>
      <c r="C204" s="339" t="s">
        <v>797</v>
      </c>
      <c r="D204" s="328"/>
      <c r="E204" s="329"/>
      <c r="F204" s="64" t="s">
        <v>304</v>
      </c>
      <c r="G204" s="65">
        <v>38777</v>
      </c>
      <c r="H204" s="64" t="s">
        <v>798</v>
      </c>
      <c r="I204" s="66">
        <v>345000</v>
      </c>
      <c r="J204" s="252">
        <f t="shared" ref="J204:J211" si="7">A204*I204</f>
        <v>345000</v>
      </c>
      <c r="K204" s="20" t="s">
        <v>46</v>
      </c>
      <c r="L204" s="58"/>
      <c r="M204" s="58"/>
      <c r="N204" s="58"/>
      <c r="O204" s="58"/>
      <c r="P204" s="58"/>
      <c r="Q204" s="58"/>
      <c r="R204" s="58"/>
    </row>
    <row r="205" spans="1:18" ht="16.5" customHeight="1" outlineLevel="1" x14ac:dyDescent="0.3">
      <c r="A205" s="64">
        <v>1</v>
      </c>
      <c r="B205" s="64" t="s">
        <v>13</v>
      </c>
      <c r="C205" s="339" t="s">
        <v>799</v>
      </c>
      <c r="D205" s="328"/>
      <c r="E205" s="329"/>
      <c r="F205" s="64" t="s">
        <v>304</v>
      </c>
      <c r="G205" s="65">
        <v>38777</v>
      </c>
      <c r="H205" s="64" t="s">
        <v>800</v>
      </c>
      <c r="I205" s="66">
        <v>345000</v>
      </c>
      <c r="J205" s="252">
        <f t="shared" si="7"/>
        <v>345000</v>
      </c>
      <c r="K205" s="20" t="s">
        <v>46</v>
      </c>
      <c r="L205" s="58"/>
      <c r="M205" s="58"/>
      <c r="N205" s="58"/>
      <c r="O205" s="58"/>
      <c r="P205" s="58"/>
      <c r="Q205" s="58"/>
      <c r="R205" s="58"/>
    </row>
    <row r="206" spans="1:18" ht="16.5" customHeight="1" outlineLevel="1" x14ac:dyDescent="0.3">
      <c r="A206" s="64">
        <v>1</v>
      </c>
      <c r="B206" s="64" t="s">
        <v>13</v>
      </c>
      <c r="C206" s="339" t="s">
        <v>801</v>
      </c>
      <c r="D206" s="328"/>
      <c r="E206" s="329"/>
      <c r="F206" s="64" t="s">
        <v>304</v>
      </c>
      <c r="G206" s="65">
        <v>38777</v>
      </c>
      <c r="H206" s="64" t="s">
        <v>802</v>
      </c>
      <c r="I206" s="66">
        <v>345000</v>
      </c>
      <c r="J206" s="252">
        <f t="shared" si="7"/>
        <v>345000</v>
      </c>
      <c r="K206" s="20" t="s">
        <v>46</v>
      </c>
      <c r="L206" s="58"/>
      <c r="M206" s="58"/>
      <c r="N206" s="58"/>
      <c r="O206" s="58"/>
      <c r="P206" s="58"/>
      <c r="Q206" s="58"/>
      <c r="R206" s="58"/>
    </row>
    <row r="207" spans="1:18" ht="16.5" customHeight="1" outlineLevel="1" x14ac:dyDescent="0.3">
      <c r="A207" s="64">
        <v>1</v>
      </c>
      <c r="B207" s="64" t="s">
        <v>13</v>
      </c>
      <c r="C207" s="339" t="s">
        <v>803</v>
      </c>
      <c r="D207" s="328"/>
      <c r="E207" s="329"/>
      <c r="F207" s="64" t="s">
        <v>304</v>
      </c>
      <c r="G207" s="71" t="s">
        <v>804</v>
      </c>
      <c r="H207" s="64"/>
      <c r="I207" s="66">
        <v>195000</v>
      </c>
      <c r="J207" s="252">
        <f t="shared" si="7"/>
        <v>195000</v>
      </c>
      <c r="K207" s="20" t="s">
        <v>46</v>
      </c>
      <c r="L207" s="58"/>
      <c r="M207" s="58"/>
      <c r="N207" s="58"/>
      <c r="O207" s="58"/>
      <c r="P207" s="58"/>
      <c r="Q207" s="58"/>
      <c r="R207" s="58"/>
    </row>
    <row r="208" spans="1:18" ht="16.5" customHeight="1" outlineLevel="1" x14ac:dyDescent="0.3">
      <c r="A208" s="64">
        <v>1</v>
      </c>
      <c r="B208" s="64" t="s">
        <v>13</v>
      </c>
      <c r="C208" s="339" t="s">
        <v>805</v>
      </c>
      <c r="D208" s="328"/>
      <c r="E208" s="329"/>
      <c r="F208" s="64" t="s">
        <v>304</v>
      </c>
      <c r="G208" s="54">
        <v>39661</v>
      </c>
      <c r="H208" s="104" t="s">
        <v>806</v>
      </c>
      <c r="I208" s="87">
        <v>500000</v>
      </c>
      <c r="J208" s="252">
        <f t="shared" si="7"/>
        <v>500000</v>
      </c>
      <c r="K208" s="20" t="s">
        <v>28</v>
      </c>
      <c r="L208" s="58"/>
      <c r="M208" s="58"/>
      <c r="N208" s="58"/>
      <c r="O208" s="58"/>
      <c r="P208" s="58"/>
      <c r="Q208" s="58"/>
      <c r="R208" s="58"/>
    </row>
    <row r="209" spans="1:18" ht="16.5" customHeight="1" outlineLevel="1" x14ac:dyDescent="0.3">
      <c r="A209" s="64">
        <v>1</v>
      </c>
      <c r="B209" s="64" t="s">
        <v>13</v>
      </c>
      <c r="C209" s="339" t="s">
        <v>807</v>
      </c>
      <c r="D209" s="328"/>
      <c r="E209" s="329"/>
      <c r="F209" s="64" t="s">
        <v>304</v>
      </c>
      <c r="G209" s="71" t="s">
        <v>172</v>
      </c>
      <c r="H209" s="64" t="s">
        <v>808</v>
      </c>
      <c r="I209" s="66">
        <v>0</v>
      </c>
      <c r="J209" s="252">
        <f t="shared" si="7"/>
        <v>0</v>
      </c>
      <c r="K209" s="20" t="s">
        <v>28</v>
      </c>
      <c r="L209" s="58"/>
      <c r="M209" s="58"/>
      <c r="N209" s="58"/>
      <c r="O209" s="58"/>
      <c r="P209" s="58"/>
      <c r="Q209" s="58"/>
      <c r="R209" s="58"/>
    </row>
    <row r="210" spans="1:18" ht="16.5" customHeight="1" outlineLevel="1" x14ac:dyDescent="0.3">
      <c r="A210" s="64">
        <v>1</v>
      </c>
      <c r="B210" s="64" t="s">
        <v>13</v>
      </c>
      <c r="C210" s="339" t="s">
        <v>809</v>
      </c>
      <c r="D210" s="328"/>
      <c r="E210" s="329"/>
      <c r="F210" s="64" t="s">
        <v>304</v>
      </c>
      <c r="G210" s="71" t="s">
        <v>172</v>
      </c>
      <c r="H210" s="64" t="s">
        <v>810</v>
      </c>
      <c r="I210" s="66">
        <v>0</v>
      </c>
      <c r="J210" s="252">
        <f t="shared" si="7"/>
        <v>0</v>
      </c>
      <c r="K210" s="20" t="s">
        <v>28</v>
      </c>
      <c r="L210" s="58"/>
      <c r="M210" s="58"/>
      <c r="N210" s="58"/>
      <c r="O210" s="58"/>
      <c r="P210" s="58"/>
      <c r="Q210" s="58"/>
      <c r="R210" s="58"/>
    </row>
    <row r="211" spans="1:18" ht="16.5" customHeight="1" outlineLevel="1" x14ac:dyDescent="0.3">
      <c r="A211" s="64">
        <v>1</v>
      </c>
      <c r="B211" s="64" t="s">
        <v>13</v>
      </c>
      <c r="C211" s="339" t="s">
        <v>811</v>
      </c>
      <c r="D211" s="328"/>
      <c r="E211" s="329"/>
      <c r="F211" s="64" t="s">
        <v>304</v>
      </c>
      <c r="G211" s="65">
        <v>38108</v>
      </c>
      <c r="H211" s="251" t="s">
        <v>812</v>
      </c>
      <c r="I211" s="66">
        <v>65000</v>
      </c>
      <c r="J211" s="252">
        <f t="shared" si="7"/>
        <v>65000</v>
      </c>
      <c r="K211" s="20" t="s">
        <v>41</v>
      </c>
      <c r="L211" s="58"/>
      <c r="M211" s="58"/>
      <c r="N211" s="58"/>
      <c r="O211" s="58"/>
      <c r="P211" s="58"/>
      <c r="Q211" s="58"/>
      <c r="R211" s="58"/>
    </row>
    <row r="212" spans="1:18" ht="16.5" customHeight="1" x14ac:dyDescent="0.3">
      <c r="A212" s="366" t="s">
        <v>380</v>
      </c>
      <c r="B212" s="331"/>
      <c r="C212" s="331"/>
      <c r="D212" s="331"/>
      <c r="E212" s="331"/>
      <c r="F212" s="331"/>
      <c r="G212" s="331"/>
      <c r="H212" s="332"/>
      <c r="I212" s="275"/>
      <c r="J212" s="260">
        <f>SUM(J204:J211)</f>
        <v>1795000</v>
      </c>
      <c r="K212" s="266"/>
      <c r="L212" s="58"/>
      <c r="M212" s="58"/>
      <c r="N212" s="58"/>
      <c r="O212" s="58"/>
      <c r="P212" s="58"/>
      <c r="Q212" s="58"/>
      <c r="R212" s="58"/>
    </row>
    <row r="213" spans="1:18" ht="16.5" customHeight="1" outlineLevel="1" x14ac:dyDescent="0.3">
      <c r="A213" s="64">
        <v>1</v>
      </c>
      <c r="B213" s="64" t="s">
        <v>13</v>
      </c>
      <c r="C213" s="339" t="s">
        <v>813</v>
      </c>
      <c r="D213" s="328"/>
      <c r="E213" s="329"/>
      <c r="F213" s="64" t="s">
        <v>312</v>
      </c>
      <c r="G213" s="65">
        <v>38231</v>
      </c>
      <c r="H213" s="282" t="s">
        <v>814</v>
      </c>
      <c r="I213" s="66"/>
      <c r="J213" s="66">
        <f t="shared" ref="J213:J218" si="8">A213*I213</f>
        <v>0</v>
      </c>
      <c r="K213" s="20" t="s">
        <v>46</v>
      </c>
      <c r="L213" s="58"/>
      <c r="M213" s="58"/>
      <c r="N213" s="58"/>
      <c r="O213" s="58"/>
      <c r="P213" s="58"/>
      <c r="Q213" s="58"/>
      <c r="R213" s="58"/>
    </row>
    <row r="214" spans="1:18" ht="16.5" customHeight="1" outlineLevel="1" x14ac:dyDescent="0.3">
      <c r="A214" s="64">
        <v>1</v>
      </c>
      <c r="B214" s="64" t="s">
        <v>13</v>
      </c>
      <c r="C214" s="339" t="s">
        <v>815</v>
      </c>
      <c r="D214" s="328"/>
      <c r="E214" s="329"/>
      <c r="F214" s="64" t="s">
        <v>312</v>
      </c>
      <c r="G214" s="65">
        <v>38961</v>
      </c>
      <c r="H214" s="282" t="s">
        <v>816</v>
      </c>
      <c r="I214" s="66">
        <v>475000</v>
      </c>
      <c r="J214" s="66">
        <f t="shared" si="8"/>
        <v>475000</v>
      </c>
      <c r="K214" s="20" t="s">
        <v>46</v>
      </c>
      <c r="L214" s="58"/>
      <c r="M214" s="58"/>
      <c r="N214" s="58"/>
      <c r="O214" s="58"/>
      <c r="P214" s="58"/>
      <c r="Q214" s="58"/>
      <c r="R214" s="58"/>
    </row>
    <row r="215" spans="1:18" ht="16.5" customHeight="1" outlineLevel="1" x14ac:dyDescent="0.3">
      <c r="A215" s="64">
        <v>1</v>
      </c>
      <c r="B215" s="64" t="s">
        <v>13</v>
      </c>
      <c r="C215" s="339" t="s">
        <v>817</v>
      </c>
      <c r="D215" s="328"/>
      <c r="E215" s="329"/>
      <c r="F215" s="64" t="s">
        <v>312</v>
      </c>
      <c r="G215" s="65">
        <v>39052</v>
      </c>
      <c r="H215" s="282" t="s">
        <v>818</v>
      </c>
      <c r="I215" s="66">
        <v>800000</v>
      </c>
      <c r="J215" s="66">
        <f t="shared" si="8"/>
        <v>800000</v>
      </c>
      <c r="K215" s="20" t="s">
        <v>46</v>
      </c>
      <c r="L215" s="58"/>
      <c r="M215" s="58"/>
      <c r="N215" s="58"/>
      <c r="O215" s="58"/>
      <c r="P215" s="58"/>
      <c r="Q215" s="58"/>
      <c r="R215" s="58"/>
    </row>
    <row r="216" spans="1:18" ht="16.5" customHeight="1" outlineLevel="1" x14ac:dyDescent="0.3">
      <c r="A216" s="64">
        <v>1</v>
      </c>
      <c r="B216" s="64" t="s">
        <v>13</v>
      </c>
      <c r="C216" s="339" t="s">
        <v>819</v>
      </c>
      <c r="D216" s="328"/>
      <c r="E216" s="329"/>
      <c r="F216" s="64" t="s">
        <v>312</v>
      </c>
      <c r="G216" s="65">
        <v>38231</v>
      </c>
      <c r="H216" s="282" t="s">
        <v>48</v>
      </c>
      <c r="I216" s="66">
        <v>1290000</v>
      </c>
      <c r="J216" s="66">
        <f t="shared" si="8"/>
        <v>1290000</v>
      </c>
      <c r="K216" s="20" t="s">
        <v>46</v>
      </c>
      <c r="L216" s="58"/>
      <c r="M216" s="58"/>
      <c r="N216" s="58"/>
      <c r="O216" s="58"/>
      <c r="P216" s="58"/>
      <c r="Q216" s="58"/>
      <c r="R216" s="58"/>
    </row>
    <row r="217" spans="1:18" ht="16.5" customHeight="1" outlineLevel="1" x14ac:dyDescent="0.3">
      <c r="A217" s="64">
        <v>2</v>
      </c>
      <c r="B217" s="64" t="s">
        <v>13</v>
      </c>
      <c r="C217" s="339" t="s">
        <v>820</v>
      </c>
      <c r="D217" s="328"/>
      <c r="E217" s="329"/>
      <c r="F217" s="64" t="s">
        <v>312</v>
      </c>
      <c r="G217" s="71" t="s">
        <v>821</v>
      </c>
      <c r="H217" s="282" t="s">
        <v>382</v>
      </c>
      <c r="I217" s="276">
        <v>0</v>
      </c>
      <c r="J217" s="66">
        <f t="shared" si="8"/>
        <v>0</v>
      </c>
      <c r="K217" s="20" t="s">
        <v>46</v>
      </c>
      <c r="L217" s="58"/>
      <c r="M217" s="58"/>
      <c r="N217" s="58"/>
      <c r="O217" s="58"/>
      <c r="P217" s="58"/>
      <c r="Q217" s="58"/>
      <c r="R217" s="58"/>
    </row>
    <row r="218" spans="1:18" ht="16.5" customHeight="1" outlineLevel="1" x14ac:dyDescent="0.3">
      <c r="A218" s="64">
        <v>1</v>
      </c>
      <c r="B218" s="64" t="s">
        <v>13</v>
      </c>
      <c r="C218" s="339" t="s">
        <v>822</v>
      </c>
      <c r="D218" s="328"/>
      <c r="E218" s="329"/>
      <c r="F218" s="64" t="s">
        <v>312</v>
      </c>
      <c r="G218" s="71" t="s">
        <v>823</v>
      </c>
      <c r="H218" s="282" t="s">
        <v>824</v>
      </c>
      <c r="I218" s="66">
        <v>3750000</v>
      </c>
      <c r="J218" s="66">
        <f t="shared" si="8"/>
        <v>3750000</v>
      </c>
      <c r="K218" s="20" t="s">
        <v>46</v>
      </c>
      <c r="L218" s="58"/>
      <c r="M218" s="58"/>
      <c r="N218" s="58"/>
      <c r="O218" s="58"/>
      <c r="P218" s="58"/>
      <c r="Q218" s="58"/>
      <c r="R218" s="58"/>
    </row>
    <row r="219" spans="1:18" ht="16.5" customHeight="1" thickBot="1" x14ac:dyDescent="0.35">
      <c r="A219" s="364" t="s">
        <v>394</v>
      </c>
      <c r="B219" s="334"/>
      <c r="C219" s="334"/>
      <c r="D219" s="334"/>
      <c r="E219" s="334"/>
      <c r="F219" s="334"/>
      <c r="G219" s="334"/>
      <c r="H219" s="335"/>
      <c r="I219" s="277"/>
      <c r="J219" s="278">
        <f>SUM(J213:J218)</f>
        <v>6315000</v>
      </c>
      <c r="K219" s="279"/>
      <c r="L219" s="58"/>
      <c r="M219" s="58"/>
      <c r="N219" s="58"/>
      <c r="O219" s="58"/>
      <c r="P219" s="58"/>
      <c r="Q219" s="58"/>
      <c r="R219" s="58"/>
    </row>
    <row r="220" spans="1:18" ht="16.5" customHeight="1" thickBot="1" x14ac:dyDescent="0.35">
      <c r="A220" s="365" t="s">
        <v>825</v>
      </c>
      <c r="B220" s="324"/>
      <c r="C220" s="324"/>
      <c r="D220" s="324"/>
      <c r="E220" s="324"/>
      <c r="F220" s="324"/>
      <c r="G220" s="324"/>
      <c r="H220" s="324"/>
      <c r="I220" s="325"/>
      <c r="J220" s="280">
        <f>J81+J113+J158+J162+J183+J192+J203+J212+J219</f>
        <v>13726157.42</v>
      </c>
      <c r="K220" s="281"/>
      <c r="L220" s="58"/>
      <c r="M220" s="58"/>
      <c r="N220" s="58"/>
      <c r="O220" s="58"/>
      <c r="P220" s="58"/>
      <c r="Q220" s="58"/>
      <c r="R220" s="58"/>
    </row>
    <row r="221" spans="1:18" ht="14.25" customHeigh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</row>
    <row r="222" spans="1:18" ht="14.25" customHeigh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</row>
    <row r="223" spans="1:18" ht="14.25" customHeigh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</row>
    <row r="224" spans="1:18" ht="14.25" customHeigh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</row>
    <row r="225" spans="1:18" ht="14.25" customHeigh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</row>
    <row r="226" spans="1:18" ht="14.25" customHeigh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</row>
    <row r="227" spans="1:18" ht="14.25" customHeigh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</row>
    <row r="228" spans="1:18" ht="14.25" customHeigh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</row>
    <row r="229" spans="1:18" ht="14.25" customHeigh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</row>
    <row r="230" spans="1:18" ht="14.25" customHeigh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</row>
    <row r="231" spans="1:18" ht="14.25" customHeigh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</row>
    <row r="232" spans="1:18" ht="14.25" customHeigh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</row>
    <row r="233" spans="1:18" ht="14.25" customHeigh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</row>
    <row r="234" spans="1:18" ht="14.25" customHeigh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</row>
    <row r="235" spans="1:18" ht="14.25" customHeigh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</row>
    <row r="236" spans="1:18" ht="14.25" customHeigh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</row>
    <row r="237" spans="1:18" ht="14.25" customHeigh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</row>
    <row r="238" spans="1:18" ht="14.25" customHeigh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</row>
    <row r="239" spans="1:18" ht="14.25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</row>
    <row r="240" spans="1:18" ht="14.25" customHeigh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</row>
    <row r="241" spans="1:18" ht="14.25" customHeigh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</row>
    <row r="242" spans="1:18" ht="14.25" customHeigh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</row>
    <row r="243" spans="1:18" ht="14.25" customHeigh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</row>
    <row r="244" spans="1:18" ht="14.25" customHeigh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</row>
    <row r="245" spans="1:18" ht="14.25" customHeigh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</row>
    <row r="246" spans="1:18" ht="14.25" customHeigh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</row>
    <row r="247" spans="1:18" ht="14.25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</row>
    <row r="248" spans="1:18" ht="14.25" customHeigh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</row>
    <row r="249" spans="1:18" ht="14.25" customHeigh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</row>
    <row r="250" spans="1:18" ht="14.25" customHeigh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</row>
    <row r="251" spans="1:18" ht="14.25" customHeigh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</row>
    <row r="252" spans="1:18" ht="14.25" customHeigh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</row>
    <row r="253" spans="1:18" ht="14.25" customHeigh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</row>
    <row r="254" spans="1:18" ht="14.25" customHeigh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</row>
    <row r="255" spans="1:18" ht="14.25" customHeigh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</row>
    <row r="256" spans="1:18" ht="14.25" customHeigh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</row>
    <row r="257" spans="1:18" ht="14.25" customHeigh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</row>
    <row r="258" spans="1:18" ht="14.25" customHeigh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</row>
    <row r="259" spans="1:18" ht="14.25" customHeigh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</row>
    <row r="260" spans="1:18" ht="14.25" customHeigh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</row>
    <row r="261" spans="1:18" ht="14.25" customHeigh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</row>
    <row r="262" spans="1:18" ht="14.25" customHeigh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</row>
    <row r="263" spans="1:18" ht="14.25" customHeigh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</row>
    <row r="264" spans="1:18" ht="14.25" customHeigh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</row>
    <row r="265" spans="1:18" ht="14.25" customHeigh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</row>
    <row r="266" spans="1:18" ht="14.25" customHeigh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</row>
    <row r="267" spans="1:18" ht="14.25" customHeigh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</row>
    <row r="268" spans="1:18" ht="14.25" customHeigh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</row>
    <row r="269" spans="1:18" ht="14.25" customHeigh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</row>
    <row r="270" spans="1:18" ht="14.25" customHeigh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</row>
    <row r="271" spans="1:18" ht="14.25" customHeigh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</row>
    <row r="272" spans="1:18" ht="14.25" customHeigh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</row>
    <row r="273" spans="1:18" ht="14.25" customHeigh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</row>
    <row r="274" spans="1:18" ht="14.25" customHeigh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</row>
    <row r="275" spans="1:18" ht="14.25" customHeigh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</row>
    <row r="276" spans="1:18" ht="14.25" customHeigh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</row>
    <row r="277" spans="1:18" ht="14.25" customHeigh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</row>
    <row r="278" spans="1:18" ht="14.25" customHeigh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</row>
    <row r="279" spans="1:18" ht="14.25" customHeigh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</row>
    <row r="280" spans="1:18" ht="14.25" customHeigh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</row>
    <row r="281" spans="1:18" ht="14.25" customHeigh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</row>
    <row r="282" spans="1:18" ht="14.25" customHeigh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</row>
    <row r="283" spans="1:18" ht="14.25" customHeigh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</row>
    <row r="284" spans="1:18" ht="14.25" customHeigh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</row>
    <row r="285" spans="1:18" ht="14.25" customHeigh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</row>
    <row r="286" spans="1:18" ht="14.25" customHeigh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</row>
    <row r="287" spans="1:18" ht="14.25" customHeigh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</row>
    <row r="288" spans="1:18" ht="14.25" customHeigh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</row>
    <row r="289" spans="1:18" ht="14.25" customHeigh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</row>
    <row r="290" spans="1:18" ht="14.25" customHeigh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</row>
    <row r="291" spans="1:18" ht="14.25" customHeigh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</row>
    <row r="292" spans="1:18" ht="14.25" customHeigh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</row>
    <row r="293" spans="1:18" ht="14.25" customHeigh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</row>
    <row r="294" spans="1:18" ht="14.25" customHeigh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</row>
    <row r="295" spans="1:18" ht="14.25" customHeigh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</row>
    <row r="296" spans="1:18" ht="14.25" customHeigh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</row>
    <row r="297" spans="1:18" ht="14.2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</row>
    <row r="298" spans="1:18" ht="14.2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</row>
    <row r="299" spans="1:18" ht="14.2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</row>
    <row r="300" spans="1:18" ht="14.2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</row>
    <row r="301" spans="1:18" ht="14.2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</row>
    <row r="302" spans="1:18" ht="14.2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</row>
    <row r="303" spans="1:18" ht="14.2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</row>
    <row r="304" spans="1:18" ht="14.2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</row>
    <row r="305" spans="1:18" ht="14.2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</row>
    <row r="306" spans="1:18" ht="14.25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</row>
    <row r="307" spans="1:18" ht="14.25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</row>
    <row r="308" spans="1:18" ht="14.2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</row>
    <row r="309" spans="1:18" ht="14.2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</row>
    <row r="310" spans="1:18" ht="14.2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</row>
    <row r="311" spans="1:18" ht="14.2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</row>
    <row r="312" spans="1:18" ht="14.2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</row>
    <row r="313" spans="1:18" ht="14.2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</row>
    <row r="314" spans="1:18" ht="14.25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</row>
    <row r="315" spans="1:18" ht="14.25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</row>
    <row r="316" spans="1:18" ht="14.2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</row>
    <row r="317" spans="1:18" ht="14.2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</row>
    <row r="318" spans="1:18" ht="14.2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</row>
    <row r="319" spans="1:18" ht="14.2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</row>
    <row r="320" spans="1:18" ht="14.2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</row>
    <row r="321" spans="1:18" ht="14.25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</row>
    <row r="322" spans="1:18" ht="14.25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</row>
    <row r="323" spans="1:18" ht="14.2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</row>
    <row r="324" spans="1:18" ht="14.2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</row>
    <row r="325" spans="1:18" ht="14.2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</row>
    <row r="326" spans="1:18" ht="14.2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</row>
    <row r="327" spans="1:18" ht="14.2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</row>
    <row r="328" spans="1:18" ht="14.2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</row>
    <row r="329" spans="1:18" ht="14.25" customHeigh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</row>
    <row r="330" spans="1:18" ht="14.25" customHeigh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</row>
    <row r="331" spans="1:18" ht="14.25" customHeigh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</row>
    <row r="332" spans="1:18" ht="14.25" customHeigh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</row>
    <row r="333" spans="1:18" ht="14.25" customHeigh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</row>
    <row r="334" spans="1:18" ht="14.25" customHeigh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</row>
    <row r="335" spans="1:18" ht="14.25" customHeigh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</row>
    <row r="336" spans="1:18" ht="14.25" customHeigh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</row>
    <row r="337" spans="1:18" ht="14.25" customHeigh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</row>
    <row r="338" spans="1:18" ht="14.25" customHeigh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</row>
    <row r="339" spans="1:18" ht="14.25" customHeigh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</row>
    <row r="340" spans="1:18" ht="14.25" customHeigh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</row>
    <row r="341" spans="1:18" ht="14.25" customHeigh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</row>
    <row r="342" spans="1:18" ht="14.25" customHeigh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</row>
    <row r="343" spans="1:18" ht="14.25" customHeigh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</row>
    <row r="344" spans="1:18" ht="14.25" customHeigh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</row>
    <row r="345" spans="1:18" ht="14.25" customHeigh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</row>
    <row r="346" spans="1:18" ht="14.25" customHeigh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</row>
    <row r="347" spans="1:18" ht="14.25" customHeigh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</row>
    <row r="348" spans="1:18" ht="14.25" customHeigh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</row>
    <row r="349" spans="1:18" ht="14.25" customHeigh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</row>
    <row r="350" spans="1:18" ht="14.25" customHeigh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</row>
    <row r="351" spans="1:18" ht="14.25" customHeigh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</row>
    <row r="352" spans="1:18" ht="14.25" customHeigh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</row>
    <row r="353" spans="1:18" ht="14.25" customHeigh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</row>
    <row r="354" spans="1:18" ht="14.25" customHeigh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</row>
    <row r="355" spans="1:18" ht="14.25" customHeigh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</row>
    <row r="356" spans="1:18" ht="14.25" customHeigh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</row>
    <row r="357" spans="1:18" ht="14.25" customHeigh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</row>
    <row r="358" spans="1:18" ht="14.25" customHeigh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</row>
    <row r="359" spans="1:18" ht="14.25" customHeigh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</row>
    <row r="360" spans="1:18" ht="14.25" customHeigh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</row>
    <row r="361" spans="1:18" ht="14.25" customHeigh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</row>
    <row r="362" spans="1:18" ht="14.25" customHeigh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</row>
    <row r="363" spans="1:18" ht="14.25" customHeigh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</row>
    <row r="364" spans="1:18" ht="14.25" customHeigh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</row>
    <row r="365" spans="1:18" ht="14.25" customHeigh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</row>
    <row r="366" spans="1:18" ht="14.25" customHeigh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</row>
    <row r="367" spans="1:18" ht="14.25" customHeigh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</row>
    <row r="368" spans="1:18" ht="14.25" customHeigh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</row>
    <row r="369" spans="1:18" ht="14.25" customHeigh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</row>
    <row r="370" spans="1:18" ht="14.25" customHeigh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</row>
    <row r="371" spans="1:18" ht="14.25" customHeigh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</row>
    <row r="372" spans="1:18" ht="14.25" customHeigh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</row>
    <row r="373" spans="1:18" ht="14.25" customHeigh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</row>
    <row r="374" spans="1:18" ht="14.25" customHeigh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</row>
    <row r="375" spans="1:18" ht="14.25" customHeigh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</row>
    <row r="376" spans="1:18" ht="14.25" customHeigh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</row>
    <row r="377" spans="1:18" ht="14.25" customHeigh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</row>
    <row r="378" spans="1:18" ht="14.25" customHeigh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</row>
    <row r="379" spans="1:18" ht="14.25" customHeigh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</row>
    <row r="380" spans="1:18" ht="14.25" customHeigh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</row>
    <row r="381" spans="1:18" ht="14.25" customHeigh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</row>
    <row r="382" spans="1:18" ht="14.25" customHeigh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</row>
    <row r="383" spans="1:18" ht="14.25" customHeigh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</row>
    <row r="384" spans="1:18" ht="14.25" customHeigh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</row>
    <row r="385" spans="1:18" ht="14.25" customHeigh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</row>
    <row r="386" spans="1:18" ht="14.25" customHeigh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</row>
    <row r="387" spans="1:18" ht="14.25" customHeigh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</row>
    <row r="388" spans="1:18" ht="14.25" customHeigh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</row>
    <row r="389" spans="1:18" ht="14.25" customHeigh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</row>
    <row r="390" spans="1:18" ht="14.25" customHeigh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</row>
    <row r="391" spans="1:18" ht="14.25" customHeigh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</row>
    <row r="392" spans="1:18" ht="14.25" customHeigh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</row>
    <row r="393" spans="1:18" ht="14.25" customHeigh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</row>
    <row r="394" spans="1:18" ht="14.25" customHeigh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</row>
    <row r="395" spans="1:18" ht="14.25" customHeigh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</row>
    <row r="396" spans="1:18" ht="14.25" customHeigh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</row>
    <row r="397" spans="1:18" ht="14.25" customHeigh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</row>
    <row r="398" spans="1:18" ht="14.25" customHeigh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</row>
    <row r="399" spans="1:18" ht="14.25" customHeigh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</row>
    <row r="400" spans="1:18" ht="14.25" customHeigh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</row>
    <row r="401" spans="1:18" ht="14.25" customHeigh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</row>
    <row r="402" spans="1:18" ht="14.25" customHeigh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</row>
    <row r="403" spans="1:18" ht="14.25" customHeigh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</row>
    <row r="404" spans="1:18" ht="14.25" customHeigh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</row>
    <row r="405" spans="1:18" ht="14.25" customHeigh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</row>
    <row r="406" spans="1:18" ht="14.25" customHeigh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</row>
    <row r="407" spans="1:18" ht="14.25" customHeigh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</row>
    <row r="408" spans="1:18" ht="14.25" customHeigh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</row>
    <row r="409" spans="1:18" ht="14.25" customHeigh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</row>
    <row r="410" spans="1:18" ht="14.25" customHeigh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</row>
    <row r="411" spans="1:18" ht="14.25" customHeigh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</row>
    <row r="412" spans="1:18" ht="14.25" customHeigh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</row>
    <row r="413" spans="1:18" ht="14.25" customHeigh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</row>
    <row r="414" spans="1:18" ht="14.25" customHeigh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</row>
    <row r="415" spans="1:18" ht="14.25" customHeigh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</row>
    <row r="416" spans="1:18" ht="14.25" customHeigh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</row>
    <row r="417" spans="1:18" ht="14.25" customHeigh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</row>
    <row r="418" spans="1:18" ht="14.25" customHeigh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</row>
    <row r="419" spans="1:18" ht="14.25" customHeigh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</row>
    <row r="420" spans="1:18" ht="14.25" customHeigh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</row>
    <row r="421" spans="1:18" ht="14.25" customHeigh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</row>
    <row r="422" spans="1:18" ht="14.25" customHeigh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</row>
    <row r="423" spans="1:18" ht="14.25" customHeigh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</row>
    <row r="424" spans="1:18" ht="14.25" customHeigh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</row>
    <row r="425" spans="1:18" ht="14.25" customHeigh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</row>
    <row r="426" spans="1:18" ht="14.25" customHeigh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</row>
    <row r="427" spans="1:18" ht="14.25" customHeigh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</row>
    <row r="428" spans="1:18" ht="14.25" customHeigh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</row>
    <row r="429" spans="1:18" ht="14.25" customHeigh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</row>
    <row r="430" spans="1:18" ht="14.25" customHeigh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</row>
    <row r="431" spans="1:18" ht="14.25" customHeigh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</row>
    <row r="432" spans="1:18" ht="14.25" customHeigh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</row>
    <row r="433" spans="1:18" ht="14.25" customHeigh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</row>
    <row r="434" spans="1:18" ht="14.25" customHeigh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</row>
    <row r="435" spans="1:18" ht="14.25" customHeigh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</row>
    <row r="436" spans="1:18" ht="14.25" customHeigh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</row>
    <row r="437" spans="1:18" ht="14.25" customHeigh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</row>
    <row r="438" spans="1:18" ht="14.25" customHeigh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</row>
    <row r="439" spans="1:18" ht="14.25" customHeigh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</row>
    <row r="440" spans="1:18" ht="14.25" customHeigh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</row>
    <row r="441" spans="1:18" ht="14.25" customHeigh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</row>
    <row r="442" spans="1:18" ht="14.25" customHeigh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</row>
    <row r="443" spans="1:18" ht="14.25" customHeigh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</row>
    <row r="444" spans="1:18" ht="14.25" customHeigh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</row>
    <row r="445" spans="1:18" ht="14.25" customHeigh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</row>
    <row r="446" spans="1:18" ht="14.25" customHeigh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</row>
    <row r="447" spans="1:18" ht="14.25" customHeigh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</row>
    <row r="448" spans="1:18" ht="14.25" customHeigh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</row>
    <row r="449" spans="1:18" ht="14.25" customHeigh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</row>
    <row r="450" spans="1:18" ht="14.25" customHeigh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</row>
    <row r="451" spans="1:18" ht="14.25" customHeigh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</row>
    <row r="452" spans="1:18" ht="14.25" customHeigh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</row>
    <row r="453" spans="1:18" ht="14.25" customHeigh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</row>
    <row r="454" spans="1:18" ht="14.25" customHeigh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</row>
    <row r="455" spans="1:18" ht="14.25" customHeigh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</row>
    <row r="456" spans="1:18" ht="14.25" customHeigh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</row>
    <row r="457" spans="1:18" ht="14.25" customHeigh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</row>
    <row r="458" spans="1:18" ht="14.25" customHeigh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</row>
    <row r="459" spans="1:18" ht="14.25" customHeigh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</row>
    <row r="460" spans="1:18" ht="14.25" customHeigh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</row>
    <row r="461" spans="1:18" ht="14.25" customHeigh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</row>
    <row r="462" spans="1:18" ht="14.25" customHeigh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</row>
    <row r="463" spans="1:18" ht="14.25" customHeigh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</row>
    <row r="464" spans="1:18" ht="14.25" customHeigh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</row>
    <row r="465" spans="1:18" ht="14.25" customHeigh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</row>
    <row r="466" spans="1:18" ht="14.25" customHeigh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</row>
    <row r="467" spans="1:18" ht="14.25" customHeigh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</row>
    <row r="468" spans="1:18" ht="14.25" customHeigh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</row>
    <row r="469" spans="1:18" ht="14.25" customHeigh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</row>
    <row r="470" spans="1:18" ht="14.25" customHeigh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</row>
    <row r="471" spans="1:18" ht="14.25" customHeigh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</row>
    <row r="472" spans="1:18" ht="14.25" customHeigh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</row>
    <row r="473" spans="1:18" ht="14.25" customHeigh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</row>
    <row r="474" spans="1:18" ht="14.25" customHeigh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</row>
    <row r="475" spans="1:18" ht="14.25" customHeigh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</row>
    <row r="476" spans="1:18" ht="14.25" customHeigh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</row>
    <row r="477" spans="1:18" ht="14.25" customHeigh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</row>
    <row r="478" spans="1:18" ht="14.25" customHeigh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</row>
    <row r="479" spans="1:18" ht="14.25" customHeigh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</row>
    <row r="480" spans="1:18" ht="14.25" customHeigh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</row>
    <row r="481" spans="1:18" ht="14.25" customHeigh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</row>
    <row r="482" spans="1:18" ht="14.25" customHeigh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</row>
    <row r="483" spans="1:18" ht="14.25" customHeigh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</row>
    <row r="484" spans="1:18" ht="14.25" customHeigh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</row>
    <row r="485" spans="1:18" ht="14.25" customHeigh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</row>
    <row r="486" spans="1:18" ht="14.25" customHeigh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</row>
    <row r="487" spans="1:18" ht="14.25" customHeigh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</row>
    <row r="488" spans="1:18" ht="14.25" customHeigh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</row>
    <row r="489" spans="1:18" ht="14.25" customHeigh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</row>
    <row r="490" spans="1:18" ht="14.25" customHeigh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</row>
    <row r="491" spans="1:18" ht="14.25" customHeigh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</row>
    <row r="492" spans="1:18" ht="14.25" customHeigh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</row>
    <row r="493" spans="1:18" ht="14.25" customHeigh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</row>
    <row r="494" spans="1:18" ht="14.25" customHeigh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</row>
    <row r="495" spans="1:18" ht="14.25" customHeigh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</row>
    <row r="496" spans="1:18" ht="14.25" customHeigh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</row>
    <row r="497" spans="1:18" ht="14.25" customHeigh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</row>
    <row r="498" spans="1:18" ht="14.25" customHeigh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</row>
    <row r="499" spans="1:18" ht="14.25" customHeigh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</row>
    <row r="500" spans="1:18" ht="14.25" customHeigh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</row>
    <row r="501" spans="1:18" ht="14.25" customHeigh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</row>
    <row r="502" spans="1:18" ht="14.25" customHeigh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</row>
    <row r="503" spans="1:18" ht="14.25" customHeigh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</row>
    <row r="504" spans="1:18" ht="14.25" customHeigh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</row>
    <row r="505" spans="1:18" ht="14.25" customHeigh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</row>
    <row r="506" spans="1:18" ht="14.25" customHeigh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</row>
    <row r="507" spans="1:18" ht="14.25" customHeigh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</row>
    <row r="508" spans="1:18" ht="14.25" customHeigh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</row>
    <row r="509" spans="1:18" ht="14.25" customHeigh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</row>
    <row r="510" spans="1:18" ht="14.25" customHeigh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</row>
    <row r="511" spans="1:18" ht="14.25" customHeigh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</row>
    <row r="512" spans="1:18" ht="14.25" customHeigh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</row>
    <row r="513" spans="1:18" ht="14.25" customHeigh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</row>
    <row r="514" spans="1:18" ht="14.25" customHeigh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</row>
    <row r="515" spans="1:18" ht="14.25" customHeigh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</row>
    <row r="516" spans="1:18" ht="14.25" customHeigh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</row>
    <row r="517" spans="1:18" ht="14.25" customHeigh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</row>
    <row r="518" spans="1:18" ht="14.25" customHeigh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</row>
    <row r="519" spans="1:18" ht="14.25" customHeigh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</row>
    <row r="520" spans="1:18" ht="14.25" customHeigh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</row>
    <row r="521" spans="1:18" ht="14.25" customHeigh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</row>
    <row r="522" spans="1:18" ht="14.25" customHeigh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</row>
    <row r="523" spans="1:18" ht="14.25" customHeigh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</row>
    <row r="524" spans="1:18" ht="14.25" customHeigh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</row>
    <row r="525" spans="1:18" ht="14.25" customHeigh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</row>
    <row r="526" spans="1:18" ht="14.25" customHeigh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</row>
    <row r="527" spans="1:18" ht="14.25" customHeigh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</row>
    <row r="528" spans="1:18" ht="14.25" customHeigh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</row>
    <row r="529" spans="1:18" ht="14.25" customHeigh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</row>
    <row r="530" spans="1:18" ht="14.25" customHeigh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</row>
    <row r="531" spans="1:18" ht="14.25" customHeigh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</row>
    <row r="532" spans="1:18" ht="14.25" customHeigh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</row>
    <row r="533" spans="1:18" ht="14.25" customHeigh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</row>
    <row r="534" spans="1:18" ht="14.25" customHeigh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</row>
    <row r="535" spans="1:18" ht="14.25" customHeigh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</row>
    <row r="536" spans="1:18" ht="14.25" customHeigh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</row>
    <row r="537" spans="1:18" ht="14.25" customHeigh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</row>
    <row r="538" spans="1:18" ht="14.25" customHeigh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</row>
    <row r="539" spans="1:18" ht="14.25" customHeigh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</row>
    <row r="540" spans="1:18" ht="14.25" customHeigh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</row>
    <row r="541" spans="1:18" ht="14.25" customHeigh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</row>
    <row r="542" spans="1:18" ht="14.25" customHeigh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</row>
    <row r="543" spans="1:18" ht="14.25" customHeigh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</row>
    <row r="544" spans="1:18" ht="14.25" customHeigh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</row>
    <row r="545" spans="1:18" ht="14.25" customHeigh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</row>
    <row r="546" spans="1:18" ht="14.25" customHeigh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</row>
    <row r="547" spans="1:18" ht="14.25" customHeigh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</row>
    <row r="548" spans="1:18" ht="14.25" customHeigh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</row>
    <row r="549" spans="1:18" ht="14.25" customHeigh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</row>
    <row r="550" spans="1:18" ht="14.25" customHeigh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</row>
    <row r="551" spans="1:18" ht="14.25" customHeigh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</row>
    <row r="552" spans="1:18" ht="14.25" customHeigh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</row>
    <row r="553" spans="1:18" ht="14.25" customHeigh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</row>
    <row r="554" spans="1:18" ht="14.25" customHeigh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</row>
    <row r="555" spans="1:18" ht="14.25" customHeigh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</row>
    <row r="556" spans="1:18" ht="14.25" customHeigh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</row>
    <row r="557" spans="1:18" ht="14.25" customHeigh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</row>
    <row r="558" spans="1:18" ht="14.25" customHeigh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</row>
    <row r="559" spans="1:18" ht="14.25" customHeigh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</row>
    <row r="560" spans="1:18" ht="14.25" customHeigh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</row>
    <row r="561" spans="1:18" ht="14.25" customHeigh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</row>
    <row r="562" spans="1:18" ht="14.25" customHeigh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</row>
    <row r="563" spans="1:18" ht="14.25" customHeigh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</row>
    <row r="564" spans="1:18" ht="14.25" customHeigh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</row>
    <row r="565" spans="1:18" ht="14.25" customHeigh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</row>
    <row r="566" spans="1:18" ht="14.25" customHeigh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</row>
    <row r="567" spans="1:18" ht="14.25" customHeigh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</row>
    <row r="568" spans="1:18" ht="14.25" customHeigh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</row>
    <row r="569" spans="1:18" ht="14.25" customHeigh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</row>
    <row r="570" spans="1:18" ht="14.25" customHeigh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</row>
    <row r="571" spans="1:18" ht="14.25" customHeigh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</row>
    <row r="572" spans="1:18" ht="14.25" customHeigh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</row>
    <row r="573" spans="1:18" ht="14.25" customHeigh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</row>
    <row r="574" spans="1:18" ht="14.25" customHeigh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</row>
    <row r="575" spans="1:18" ht="14.25" customHeigh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</row>
    <row r="576" spans="1:18" ht="14.25" customHeigh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</row>
    <row r="577" spans="1:18" ht="14.25" customHeigh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</row>
    <row r="578" spans="1:18" ht="14.25" customHeigh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</row>
    <row r="579" spans="1:18" ht="14.25" customHeigh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</row>
    <row r="580" spans="1:18" ht="14.25" customHeigh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</row>
    <row r="581" spans="1:18" ht="14.25" customHeigh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</row>
    <row r="582" spans="1:18" ht="14.25" customHeigh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</row>
    <row r="583" spans="1:18" ht="14.25" customHeigh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</row>
    <row r="584" spans="1:18" ht="14.25" customHeigh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</row>
    <row r="585" spans="1:18" ht="14.25" customHeigh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</row>
    <row r="586" spans="1:18" ht="14.25" customHeigh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</row>
    <row r="587" spans="1:18" ht="14.25" customHeigh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</row>
    <row r="588" spans="1:18" ht="14.25" customHeigh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</row>
    <row r="589" spans="1:18" ht="14.25" customHeigh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</row>
    <row r="590" spans="1:18" ht="14.25" customHeigh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</row>
    <row r="591" spans="1:18" ht="14.25" customHeigh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</row>
    <row r="592" spans="1:18" ht="14.25" customHeigh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</row>
    <row r="593" spans="1:18" ht="14.25" customHeigh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</row>
    <row r="594" spans="1:18" ht="14.25" customHeigh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</row>
    <row r="595" spans="1:18" ht="14.25" customHeigh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</row>
    <row r="596" spans="1:18" ht="14.25" customHeigh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</row>
    <row r="597" spans="1:18" ht="14.25" customHeigh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</row>
    <row r="598" spans="1:18" ht="14.25" customHeigh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</row>
    <row r="599" spans="1:18" ht="14.25" customHeigh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</row>
    <row r="600" spans="1:18" ht="14.25" customHeigh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</row>
    <row r="601" spans="1:18" ht="14.25" customHeigh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</row>
    <row r="602" spans="1:18" ht="14.25" customHeigh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</row>
    <row r="603" spans="1:18" ht="14.25" customHeigh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</row>
    <row r="604" spans="1:18" ht="14.25" customHeigh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</row>
    <row r="605" spans="1:18" ht="14.25" customHeigh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</row>
    <row r="606" spans="1:18" ht="14.25" customHeigh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</row>
    <row r="607" spans="1:18" ht="14.25" customHeigh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</row>
    <row r="608" spans="1:18" ht="14.25" customHeigh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</row>
    <row r="609" spans="1:18" ht="14.25" customHeigh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</row>
    <row r="610" spans="1:18" ht="14.25" customHeigh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</row>
    <row r="611" spans="1:18" ht="14.25" customHeigh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</row>
    <row r="612" spans="1:18" ht="14.25" customHeigh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</row>
    <row r="613" spans="1:18" ht="14.25" customHeigh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</row>
    <row r="614" spans="1:18" ht="14.25" customHeigh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</row>
    <row r="615" spans="1:18" ht="14.25" customHeigh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</row>
    <row r="616" spans="1:18" ht="14.25" customHeigh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</row>
    <row r="617" spans="1:18" ht="14.25" customHeigh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</row>
    <row r="618" spans="1:18" ht="14.25" customHeigh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</row>
    <row r="619" spans="1:18" ht="14.25" customHeigh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</row>
    <row r="620" spans="1:18" ht="14.25" customHeigh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</row>
    <row r="621" spans="1:18" ht="14.25" customHeigh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</row>
    <row r="622" spans="1:18" ht="14.25" customHeigh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</row>
    <row r="623" spans="1:18" ht="14.25" customHeigh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</row>
    <row r="624" spans="1:18" ht="14.25" customHeigh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</row>
    <row r="625" spans="1:18" ht="14.25" customHeigh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</row>
    <row r="626" spans="1:18" ht="14.25" customHeigh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</row>
    <row r="627" spans="1:18" ht="14.25" customHeigh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</row>
    <row r="628" spans="1:18" ht="14.25" customHeigh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</row>
    <row r="629" spans="1:18" ht="14.25" customHeigh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</row>
    <row r="630" spans="1:18" ht="14.25" customHeigh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</row>
    <row r="631" spans="1:18" ht="14.25" customHeigh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</row>
    <row r="632" spans="1:18" ht="14.25" customHeigh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</row>
    <row r="633" spans="1:18" ht="14.25" customHeigh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</row>
    <row r="634" spans="1:18" ht="14.25" customHeigh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</row>
    <row r="635" spans="1:18" ht="14.25" customHeigh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</row>
    <row r="636" spans="1:18" ht="14.25" customHeigh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</row>
    <row r="637" spans="1:18" ht="14.25" customHeigh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</row>
    <row r="638" spans="1:18" ht="14.25" customHeigh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</row>
    <row r="639" spans="1:18" ht="14.25" customHeigh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</row>
    <row r="640" spans="1:18" ht="14.25" customHeigh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</row>
    <row r="641" spans="1:18" ht="14.25" customHeigh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</row>
    <row r="642" spans="1:18" ht="14.25" customHeigh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</row>
    <row r="643" spans="1:18" ht="14.25" customHeigh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</row>
    <row r="644" spans="1:18" ht="14.25" customHeigh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</row>
    <row r="645" spans="1:18" ht="14.25" customHeigh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</row>
    <row r="646" spans="1:18" ht="14.25" customHeigh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</row>
    <row r="647" spans="1:18" ht="14.25" customHeigh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</row>
    <row r="648" spans="1:18" ht="14.25" customHeigh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</row>
    <row r="649" spans="1:18" ht="14.25" customHeigh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</row>
    <row r="650" spans="1:18" ht="14.25" customHeigh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</row>
    <row r="651" spans="1:18" ht="14.25" customHeigh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</row>
    <row r="652" spans="1:18" ht="14.25" customHeigh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</row>
    <row r="653" spans="1:18" ht="14.25" customHeigh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</row>
    <row r="654" spans="1:18" ht="14.25" customHeigh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</row>
    <row r="655" spans="1:18" ht="14.25" customHeigh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</row>
    <row r="656" spans="1:18" ht="14.25" customHeigh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</row>
    <row r="657" spans="1:18" ht="14.25" customHeigh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</row>
    <row r="658" spans="1:18" ht="14.25" customHeigh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</row>
    <row r="659" spans="1:18" ht="14.25" customHeigh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</row>
    <row r="660" spans="1:18" ht="14.25" customHeigh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</row>
    <row r="661" spans="1:18" ht="14.25" customHeigh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</row>
    <row r="662" spans="1:18" ht="14.25" customHeigh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</row>
    <row r="663" spans="1:18" ht="14.25" customHeigh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</row>
    <row r="664" spans="1:18" ht="14.25" customHeigh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</row>
    <row r="665" spans="1:18" ht="14.25" customHeigh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</row>
    <row r="666" spans="1:18" ht="14.25" customHeigh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</row>
    <row r="667" spans="1:18" ht="14.25" customHeigh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</row>
    <row r="668" spans="1:18" ht="14.25" customHeigh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</row>
    <row r="669" spans="1:18" ht="14.25" customHeigh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</row>
    <row r="670" spans="1:18" ht="14.25" customHeigh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</row>
    <row r="671" spans="1:18" ht="14.25" customHeigh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</row>
    <row r="672" spans="1:18" ht="14.25" customHeigh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</row>
    <row r="673" spans="1:18" ht="14.25" customHeigh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</row>
    <row r="674" spans="1:18" ht="14.25" customHeigh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</row>
    <row r="675" spans="1:18" ht="14.25" customHeigh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</row>
    <row r="676" spans="1:18" ht="14.25" customHeigh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</row>
    <row r="677" spans="1:18" ht="14.25" customHeigh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</row>
    <row r="678" spans="1:18" ht="14.25" customHeigh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</row>
    <row r="679" spans="1:18" ht="14.25" customHeigh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</row>
    <row r="680" spans="1:18" ht="14.25" customHeigh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</row>
    <row r="681" spans="1:18" ht="14.25" customHeigh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</row>
    <row r="682" spans="1:18" ht="14.25" customHeigh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</row>
    <row r="683" spans="1:18" ht="14.25" customHeigh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</row>
    <row r="684" spans="1:18" ht="14.25" customHeigh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</row>
    <row r="685" spans="1:18" ht="14.25" customHeigh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</row>
    <row r="686" spans="1:18" ht="14.25" customHeigh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</row>
    <row r="687" spans="1:18" ht="14.25" customHeigh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</row>
    <row r="688" spans="1:18" ht="14.25" customHeigh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</row>
    <row r="689" spans="1:18" ht="14.25" customHeigh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</row>
    <row r="690" spans="1:18" ht="14.25" customHeigh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</row>
    <row r="691" spans="1:18" ht="14.25" customHeigh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</row>
    <row r="692" spans="1:18" ht="14.25" customHeigh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</row>
    <row r="693" spans="1:18" ht="14.25" customHeigh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</row>
    <row r="694" spans="1:18" ht="14.25" customHeigh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</row>
    <row r="695" spans="1:18" ht="14.25" customHeigh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</row>
    <row r="696" spans="1:18" ht="14.25" customHeigh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</row>
    <row r="697" spans="1:18" ht="14.25" customHeigh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</row>
    <row r="698" spans="1:18" ht="14.25" customHeigh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</row>
    <row r="699" spans="1:18" ht="14.25" customHeigh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</row>
    <row r="700" spans="1:18" ht="14.25" customHeigh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</row>
    <row r="701" spans="1:18" ht="14.25" customHeigh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</row>
    <row r="702" spans="1:18" ht="14.25" customHeigh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</row>
    <row r="703" spans="1:18" ht="14.25" customHeigh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</row>
    <row r="704" spans="1:18" ht="14.25" customHeigh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</row>
    <row r="705" spans="1:18" ht="14.25" customHeigh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</row>
    <row r="706" spans="1:18" ht="14.25" customHeigh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</row>
    <row r="707" spans="1:18" ht="14.25" customHeigh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</row>
    <row r="708" spans="1:18" ht="14.25" customHeigh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</row>
    <row r="709" spans="1:18" ht="14.25" customHeigh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</row>
    <row r="710" spans="1:18" ht="14.25" customHeigh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</row>
    <row r="711" spans="1:18" ht="14.25" customHeigh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</row>
    <row r="712" spans="1:18" ht="14.25" customHeigh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</row>
    <row r="713" spans="1:18" ht="14.25" customHeigh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</row>
    <row r="714" spans="1:18" ht="14.25" customHeigh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</row>
    <row r="715" spans="1:18" ht="14.25" customHeigh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</row>
    <row r="716" spans="1:18" ht="14.25" customHeigh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</row>
    <row r="717" spans="1:18" ht="14.2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</row>
    <row r="718" spans="1:18" ht="14.25" customHeigh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</row>
    <row r="719" spans="1:18" ht="14.25" customHeigh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</row>
    <row r="720" spans="1:18" ht="14.25" customHeigh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</row>
    <row r="721" spans="1:18" ht="14.25" customHeigh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</row>
    <row r="722" spans="1:18" ht="14.25" customHeigh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</row>
    <row r="723" spans="1:18" ht="14.25" customHeigh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</row>
    <row r="724" spans="1:18" ht="14.25" customHeigh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</row>
    <row r="725" spans="1:18" ht="14.25" customHeigh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</row>
    <row r="726" spans="1:18" ht="14.25" customHeigh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</row>
    <row r="727" spans="1:18" ht="14.25" customHeigh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</row>
    <row r="728" spans="1:18" ht="14.2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</row>
    <row r="729" spans="1:18" ht="14.25" customHeigh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</row>
    <row r="730" spans="1:18" ht="14.25" customHeigh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</row>
    <row r="731" spans="1:18" ht="14.25" customHeigh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</row>
    <row r="732" spans="1:18" ht="14.25" customHeigh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</row>
    <row r="733" spans="1:18" ht="14.25" customHeigh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</row>
    <row r="734" spans="1:18" ht="14.25" customHeigh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</row>
    <row r="735" spans="1:18" ht="14.25" customHeigh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</row>
    <row r="736" spans="1:18" ht="14.25" customHeigh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</row>
    <row r="737" spans="1:18" ht="14.25" customHeight="1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</row>
    <row r="738" spans="1:18" ht="14.25" customHeigh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</row>
    <row r="739" spans="1:18" ht="14.25" customHeight="1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</row>
    <row r="740" spans="1:18" ht="14.25" customHeigh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</row>
    <row r="741" spans="1:18" ht="14.25" customHeight="1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</row>
    <row r="742" spans="1:18" ht="14.25" customHeigh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</row>
    <row r="743" spans="1:18" ht="14.25" customHeight="1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</row>
    <row r="744" spans="1:18" ht="14.25" customHeigh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</row>
    <row r="745" spans="1:18" ht="14.25" customHeight="1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</row>
    <row r="746" spans="1:18" ht="14.25" customHeigh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</row>
    <row r="747" spans="1:18" ht="14.25" customHeight="1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</row>
    <row r="748" spans="1:18" ht="14.25" customHeigh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</row>
    <row r="749" spans="1:18" ht="14.25" customHeight="1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</row>
    <row r="750" spans="1:18" ht="14.25" customHeigh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</row>
    <row r="751" spans="1:18" ht="14.25" customHeight="1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</row>
    <row r="752" spans="1:18" ht="14.25" customHeigh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</row>
    <row r="753" spans="1:18" ht="14.25" customHeight="1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</row>
    <row r="754" spans="1:18" ht="14.2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</row>
    <row r="755" spans="1:18" ht="14.25" customHeight="1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</row>
    <row r="756" spans="1:18" ht="14.25" customHeigh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</row>
    <row r="757" spans="1:18" ht="14.25" customHeight="1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</row>
    <row r="758" spans="1:18" ht="14.25" customHeigh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</row>
    <row r="759" spans="1:18" ht="14.25" customHeight="1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</row>
    <row r="760" spans="1:18" ht="14.25" customHeigh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</row>
    <row r="761" spans="1:18" ht="14.25" customHeight="1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</row>
    <row r="762" spans="1:18" ht="14.25" customHeigh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</row>
    <row r="763" spans="1:18" ht="14.25" customHeight="1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</row>
    <row r="764" spans="1:18" ht="14.25" customHeigh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</row>
    <row r="765" spans="1:18" ht="14.25" customHeight="1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</row>
    <row r="766" spans="1:18" ht="14.25" customHeigh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</row>
    <row r="767" spans="1:18" ht="14.25" customHeight="1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</row>
    <row r="768" spans="1:18" ht="14.25" customHeigh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</row>
    <row r="769" spans="1:18" ht="14.25" customHeight="1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</row>
    <row r="770" spans="1:18" ht="14.25" customHeigh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</row>
    <row r="771" spans="1:18" ht="14.25" customHeight="1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</row>
    <row r="772" spans="1:18" ht="14.25" customHeigh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</row>
    <row r="773" spans="1:18" ht="14.25" customHeight="1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</row>
    <row r="774" spans="1:18" ht="14.25" customHeigh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</row>
    <row r="775" spans="1:18" ht="14.25" customHeight="1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</row>
    <row r="776" spans="1:18" ht="14.25" customHeigh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</row>
    <row r="777" spans="1:18" ht="14.25" customHeight="1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</row>
    <row r="778" spans="1:18" ht="14.25" customHeigh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</row>
    <row r="779" spans="1:18" ht="14.25" customHeight="1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</row>
    <row r="780" spans="1:18" ht="14.25" customHeigh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</row>
    <row r="781" spans="1:18" ht="14.25" customHeight="1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</row>
    <row r="782" spans="1:18" ht="14.25" customHeigh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</row>
    <row r="783" spans="1:18" ht="14.25" customHeight="1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</row>
    <row r="784" spans="1:18" ht="14.25" customHeigh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</row>
    <row r="785" spans="1:18" ht="14.25" customHeight="1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</row>
    <row r="786" spans="1:18" ht="14.25" customHeigh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</row>
    <row r="787" spans="1:18" ht="14.25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</row>
    <row r="788" spans="1:18" ht="14.25" customHeigh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</row>
    <row r="789" spans="1:18" ht="14.2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</row>
    <row r="790" spans="1:18" ht="14.25" customHeigh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</row>
    <row r="791" spans="1:18" ht="14.25" customHeight="1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</row>
    <row r="792" spans="1:18" ht="14.25" customHeight="1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</row>
    <row r="793" spans="1:18" ht="14.25" customHeight="1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</row>
    <row r="794" spans="1:18" ht="14.25" customHeight="1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</row>
    <row r="795" spans="1:18" ht="14.25" customHeight="1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</row>
    <row r="796" spans="1:18" ht="14.25" customHeight="1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</row>
    <row r="797" spans="1:18" ht="14.25" customHeight="1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</row>
    <row r="798" spans="1:18" ht="14.2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</row>
    <row r="799" spans="1:18" ht="14.25" customHeight="1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</row>
    <row r="800" spans="1:18" ht="14.25" customHeight="1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</row>
    <row r="801" spans="1:18" ht="14.25" customHeight="1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</row>
    <row r="802" spans="1:18" ht="14.25" customHeight="1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</row>
    <row r="803" spans="1:18" ht="14.25" customHeight="1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</row>
    <row r="804" spans="1:18" ht="14.25" customHeight="1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</row>
    <row r="805" spans="1:18" ht="14.25" customHeight="1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</row>
    <row r="806" spans="1:18" ht="14.25" customHeight="1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</row>
    <row r="807" spans="1:18" ht="14.25" customHeight="1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</row>
    <row r="808" spans="1:18" ht="14.25" customHeight="1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</row>
    <row r="809" spans="1:18" ht="14.25" customHeight="1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</row>
    <row r="810" spans="1:18" ht="14.25" customHeight="1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</row>
    <row r="811" spans="1:18" ht="14.25" customHeight="1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</row>
    <row r="812" spans="1:18" ht="14.25" customHeight="1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</row>
    <row r="813" spans="1:18" ht="14.25" customHeight="1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</row>
    <row r="814" spans="1:18" ht="14.25" customHeight="1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</row>
    <row r="815" spans="1:18" ht="14.25" customHeight="1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</row>
    <row r="816" spans="1:18" ht="14.25" customHeight="1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</row>
    <row r="817" spans="1:18" ht="14.2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</row>
    <row r="818" spans="1:18" ht="14.25" customHeight="1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</row>
    <row r="819" spans="1:18" ht="14.25" customHeight="1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</row>
    <row r="820" spans="1:18" ht="14.25" customHeight="1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</row>
    <row r="821" spans="1:18" ht="14.25" customHeight="1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</row>
    <row r="822" spans="1:18" ht="14.25" customHeight="1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</row>
    <row r="823" spans="1:18" ht="14.25" customHeight="1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</row>
    <row r="824" spans="1:18" ht="14.25" customHeight="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</row>
    <row r="825" spans="1:18" ht="14.25" customHeight="1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</row>
    <row r="826" spans="1:18" ht="14.25" customHeight="1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</row>
    <row r="827" spans="1:18" ht="14.25" customHeight="1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</row>
    <row r="828" spans="1:18" ht="14.25" customHeight="1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</row>
    <row r="829" spans="1:18" ht="14.2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</row>
    <row r="830" spans="1:18" ht="14.25" customHeight="1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</row>
    <row r="831" spans="1:18" ht="14.25" customHeight="1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</row>
    <row r="832" spans="1:18" ht="14.25" customHeight="1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</row>
    <row r="833" spans="1:18" ht="14.25" customHeight="1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</row>
    <row r="834" spans="1:18" ht="14.25" customHeight="1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</row>
    <row r="835" spans="1:18" ht="14.25" customHeight="1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</row>
    <row r="836" spans="1:18" ht="14.25" customHeight="1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</row>
    <row r="837" spans="1:18" ht="14.25" customHeight="1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</row>
    <row r="838" spans="1:18" ht="14.25" customHeight="1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</row>
    <row r="839" spans="1:18" ht="14.25" customHeight="1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</row>
    <row r="840" spans="1:18" ht="14.25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</row>
    <row r="841" spans="1:18" ht="14.25" customHeight="1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</row>
    <row r="842" spans="1:18" ht="14.25" customHeight="1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</row>
    <row r="843" spans="1:18" ht="14.25" customHeight="1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</row>
    <row r="844" spans="1:18" ht="14.25" customHeight="1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</row>
    <row r="845" spans="1:18" ht="14.25" customHeight="1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</row>
    <row r="846" spans="1:18" ht="14.25" customHeight="1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</row>
    <row r="847" spans="1:18" ht="14.25" customHeight="1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</row>
    <row r="848" spans="1:18" ht="14.25" customHeight="1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</row>
    <row r="849" spans="1:18" ht="14.25" customHeight="1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</row>
    <row r="850" spans="1:18" ht="14.25" customHeight="1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</row>
    <row r="851" spans="1:18" ht="14.25" customHeight="1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</row>
    <row r="852" spans="1:18" ht="14.25" customHeight="1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</row>
    <row r="853" spans="1:18" ht="14.25" customHeight="1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</row>
    <row r="854" spans="1:18" ht="14.25" customHeight="1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</row>
    <row r="855" spans="1:18" ht="14.25" customHeight="1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</row>
    <row r="856" spans="1:18" ht="14.25" customHeight="1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</row>
    <row r="857" spans="1:18" ht="14.25" customHeight="1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</row>
    <row r="858" spans="1:18" ht="14.25" customHeight="1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</row>
    <row r="859" spans="1:18" ht="14.25" customHeight="1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</row>
    <row r="860" spans="1:18" ht="14.25" customHeight="1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</row>
    <row r="861" spans="1:18" ht="14.25" customHeight="1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</row>
    <row r="862" spans="1:18" ht="14.25" customHeight="1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</row>
    <row r="863" spans="1:18" ht="14.25" customHeight="1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</row>
    <row r="864" spans="1:18" ht="14.25" customHeight="1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</row>
    <row r="865" spans="1:18" ht="14.25" customHeight="1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</row>
    <row r="866" spans="1:18" ht="14.2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</row>
    <row r="867" spans="1:18" ht="14.25" customHeight="1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</row>
    <row r="868" spans="1:18" ht="14.25" customHeight="1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</row>
    <row r="869" spans="1:18" ht="14.25" customHeight="1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</row>
    <row r="870" spans="1:18" ht="14.25" customHeight="1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</row>
    <row r="871" spans="1:18" ht="14.2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</row>
    <row r="872" spans="1:18" ht="14.25" customHeight="1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</row>
    <row r="873" spans="1:18" ht="14.25" customHeight="1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</row>
    <row r="874" spans="1:18" ht="14.25" customHeight="1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</row>
    <row r="875" spans="1:18" ht="14.25" customHeight="1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</row>
    <row r="876" spans="1:18" ht="14.25" customHeight="1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</row>
    <row r="877" spans="1:18" ht="14.25" customHeight="1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</row>
    <row r="878" spans="1:18" ht="14.25" customHeight="1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</row>
    <row r="879" spans="1:18" ht="14.25" customHeight="1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</row>
    <row r="880" spans="1:18" ht="14.25" customHeight="1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</row>
    <row r="881" spans="1:18" ht="14.25" customHeight="1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</row>
    <row r="882" spans="1:18" ht="14.25" customHeight="1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</row>
    <row r="883" spans="1:18" ht="14.25" customHeight="1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</row>
    <row r="884" spans="1:18" ht="14.25" customHeight="1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</row>
    <row r="885" spans="1:18" ht="14.25" customHeight="1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</row>
    <row r="886" spans="1:18" ht="14.25" customHeight="1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</row>
    <row r="887" spans="1:18" ht="14.25" customHeight="1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</row>
    <row r="888" spans="1:18" ht="14.25" customHeight="1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</row>
    <row r="889" spans="1:18" ht="14.25" customHeight="1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</row>
    <row r="890" spans="1:18" ht="14.25" customHeight="1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</row>
    <row r="891" spans="1:18" ht="14.25" customHeight="1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</row>
    <row r="892" spans="1:18" ht="14.25" customHeight="1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</row>
    <row r="893" spans="1:18" ht="14.25" customHeight="1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</row>
    <row r="894" spans="1:18" ht="14.25" customHeight="1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</row>
    <row r="895" spans="1:18" ht="14.25" customHeight="1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</row>
    <row r="896" spans="1:18" ht="14.25" customHeight="1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</row>
    <row r="897" spans="1:18" ht="14.25" customHeight="1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</row>
    <row r="898" spans="1:18" ht="14.25" customHeight="1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</row>
    <row r="899" spans="1:18" ht="14.25" customHeight="1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</row>
    <row r="900" spans="1:18" ht="14.25" customHeight="1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</row>
    <row r="901" spans="1:18" ht="14.25" customHeight="1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</row>
    <row r="902" spans="1:18" ht="14.25" customHeight="1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</row>
    <row r="903" spans="1:18" ht="14.25" customHeight="1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</row>
    <row r="904" spans="1:18" ht="14.25" customHeight="1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</row>
    <row r="905" spans="1:18" ht="14.25" customHeight="1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</row>
    <row r="906" spans="1:18" ht="14.25" customHeight="1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</row>
    <row r="907" spans="1:18" ht="14.25" customHeight="1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</row>
    <row r="908" spans="1:18" ht="14.25" customHeight="1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</row>
    <row r="909" spans="1:18" ht="14.25" customHeight="1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</row>
    <row r="910" spans="1:18" ht="14.25" customHeight="1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</row>
    <row r="911" spans="1:18" ht="14.25" customHeight="1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</row>
    <row r="912" spans="1:18" ht="14.25" customHeight="1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</row>
    <row r="913" spans="1:18" ht="14.25" customHeight="1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</row>
    <row r="914" spans="1:18" ht="14.25" customHeight="1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</row>
    <row r="915" spans="1:18" ht="14.25" customHeight="1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</row>
    <row r="916" spans="1:18" ht="14.25" customHeight="1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</row>
    <row r="917" spans="1:18" ht="14.25" customHeight="1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</row>
    <row r="918" spans="1:18" ht="14.25" customHeight="1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</row>
    <row r="919" spans="1:18" ht="14.25" customHeight="1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</row>
    <row r="920" spans="1:18" ht="14.25" customHeight="1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</row>
    <row r="921" spans="1:18" ht="14.25" customHeight="1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</row>
    <row r="922" spans="1:18" ht="14.25" customHeight="1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</row>
    <row r="923" spans="1:18" ht="14.25" customHeight="1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</row>
    <row r="924" spans="1:18" ht="14.25" customHeight="1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</row>
    <row r="925" spans="1:18" ht="14.25" customHeight="1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</row>
    <row r="926" spans="1:18" ht="14.25" customHeight="1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</row>
    <row r="927" spans="1:18" ht="14.25" customHeight="1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</row>
    <row r="928" spans="1:18" ht="14.25" customHeight="1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</row>
    <row r="929" spans="1:18" ht="14.25" customHeight="1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</row>
    <row r="930" spans="1:18" ht="14.25" customHeight="1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</row>
    <row r="931" spans="1:18" ht="14.25" customHeight="1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</row>
    <row r="932" spans="1:18" ht="14.25" customHeight="1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</row>
    <row r="933" spans="1:18" ht="14.25" customHeight="1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</row>
    <row r="934" spans="1:18" ht="14.25" customHeight="1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</row>
    <row r="935" spans="1:18" ht="14.25" customHeight="1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</row>
    <row r="936" spans="1:18" ht="14.25" customHeight="1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</row>
    <row r="937" spans="1:18" ht="14.25" customHeight="1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</row>
    <row r="938" spans="1:18" ht="14.25" customHeight="1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</row>
    <row r="939" spans="1:18" ht="14.25" customHeight="1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</row>
    <row r="940" spans="1:18" ht="14.25" customHeight="1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</row>
    <row r="941" spans="1:18" ht="14.25" customHeight="1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</row>
    <row r="942" spans="1:18" ht="14.25" customHeight="1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</row>
    <row r="943" spans="1:18" ht="14.25" customHeight="1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</row>
    <row r="944" spans="1:18" ht="14.25" customHeight="1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</row>
    <row r="945" spans="1:18" ht="14.25" customHeight="1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</row>
    <row r="946" spans="1:18" ht="14.25" customHeight="1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</row>
    <row r="947" spans="1:18" ht="14.25" customHeight="1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</row>
    <row r="948" spans="1:18" ht="14.25" customHeight="1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</row>
    <row r="949" spans="1:18" ht="14.25" customHeight="1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</row>
    <row r="950" spans="1:18" ht="14.25" customHeight="1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</row>
    <row r="951" spans="1:18" ht="14.25" customHeight="1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</row>
    <row r="952" spans="1:18" ht="14.25" customHeight="1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</row>
    <row r="953" spans="1:18" ht="14.25" customHeight="1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</row>
    <row r="954" spans="1:18" ht="14.25" customHeight="1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</row>
    <row r="955" spans="1:18" ht="14.25" customHeight="1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</row>
    <row r="956" spans="1:18" ht="14.25" customHeight="1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</row>
    <row r="957" spans="1:18" ht="14.25" customHeight="1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</row>
    <row r="958" spans="1:18" ht="14.25" customHeight="1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</row>
    <row r="959" spans="1:18" ht="14.25" customHeight="1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</row>
    <row r="960" spans="1:18" ht="14.25" customHeight="1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</row>
    <row r="961" spans="1:18" ht="14.25" customHeight="1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</row>
    <row r="962" spans="1:18" ht="14.25" customHeight="1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</row>
    <row r="963" spans="1:18" ht="14.25" customHeight="1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</row>
    <row r="964" spans="1:18" ht="14.25" customHeight="1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</row>
    <row r="965" spans="1:18" ht="14.25" customHeight="1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</row>
    <row r="966" spans="1:18" ht="14.25" customHeight="1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</row>
    <row r="967" spans="1:18" ht="14.25" customHeight="1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</row>
    <row r="968" spans="1:18" ht="14.25" customHeight="1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</row>
    <row r="969" spans="1:18" ht="14.25" customHeight="1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</row>
    <row r="970" spans="1:18" ht="14.25" customHeight="1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</row>
    <row r="971" spans="1:18" ht="14.2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</row>
    <row r="972" spans="1:18" ht="14.25" customHeight="1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</row>
    <row r="973" spans="1:18" ht="14.25" customHeight="1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</row>
    <row r="974" spans="1:18" ht="14.25" customHeight="1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</row>
    <row r="975" spans="1:18" ht="14.25" customHeight="1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</row>
    <row r="976" spans="1:18" ht="14.25" customHeight="1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</row>
    <row r="977" spans="1:18" ht="14.25" customHeight="1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</row>
    <row r="978" spans="1:18" ht="14.25" customHeight="1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</row>
    <row r="979" spans="1:18" ht="14.25" customHeight="1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</row>
    <row r="980" spans="1:18" ht="14.2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</row>
    <row r="981" spans="1:18" ht="14.2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</row>
    <row r="982" spans="1:18" ht="14.25" customHeight="1" x14ac:dyDescent="0.3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</row>
    <row r="983" spans="1:18" ht="14.25" customHeight="1" x14ac:dyDescent="0.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</row>
    <row r="984" spans="1:18" ht="14.25" customHeight="1" x14ac:dyDescent="0.3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</row>
    <row r="985" spans="1:18" ht="14.25" customHeight="1" x14ac:dyDescent="0.3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</row>
    <row r="986" spans="1:18" ht="14.25" customHeight="1" x14ac:dyDescent="0.3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</row>
    <row r="987" spans="1:18" ht="14.25" customHeight="1" x14ac:dyDescent="0.3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</row>
    <row r="988" spans="1:18" ht="14.25" customHeight="1" x14ac:dyDescent="0.3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</row>
    <row r="989" spans="1:18" ht="14.25" customHeight="1" x14ac:dyDescent="0.3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</row>
    <row r="990" spans="1:18" ht="14.25" customHeight="1" x14ac:dyDescent="0.3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</row>
    <row r="991" spans="1:18" ht="14.25" customHeight="1" x14ac:dyDescent="0.3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</row>
    <row r="992" spans="1:18" ht="14.25" customHeight="1" x14ac:dyDescent="0.3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</row>
    <row r="993" spans="1:18" ht="14.25" customHeight="1" x14ac:dyDescent="0.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</row>
    <row r="994" spans="1:18" ht="14.2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</row>
    <row r="995" spans="1:18" ht="14.25" customHeight="1" x14ac:dyDescent="0.3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</row>
    <row r="996" spans="1:18" ht="14.25" customHeight="1" x14ac:dyDescent="0.3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</row>
    <row r="997" spans="1:18" ht="14.25" customHeight="1" x14ac:dyDescent="0.3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</row>
    <row r="998" spans="1:18" ht="14.25" customHeight="1" x14ac:dyDescent="0.3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</row>
  </sheetData>
  <autoFilter ref="A9:K220" xr:uid="{00000000-0009-0000-0000-000000000000}"/>
  <mergeCells count="200">
    <mergeCell ref="A9:A10"/>
    <mergeCell ref="B9:B10"/>
    <mergeCell ref="C9:E10"/>
    <mergeCell ref="K9:K10"/>
    <mergeCell ref="C11:E11"/>
    <mergeCell ref="C12:E12"/>
    <mergeCell ref="A1:K1"/>
    <mergeCell ref="A3:K3"/>
    <mergeCell ref="A4:K4"/>
    <mergeCell ref="I5:J5"/>
    <mergeCell ref="A6:K6"/>
    <mergeCell ref="A7:K7"/>
    <mergeCell ref="A2:K2"/>
    <mergeCell ref="C19:E19"/>
    <mergeCell ref="C20:E20"/>
    <mergeCell ref="C21:E21"/>
    <mergeCell ref="C23:E23"/>
    <mergeCell ref="C24:E24"/>
    <mergeCell ref="C25:E25"/>
    <mergeCell ref="C13:E13"/>
    <mergeCell ref="C14:E14"/>
    <mergeCell ref="C15:E15"/>
    <mergeCell ref="C16:E16"/>
    <mergeCell ref="C17:E17"/>
    <mergeCell ref="C18:E18"/>
    <mergeCell ref="C34:E34"/>
    <mergeCell ref="C35:E35"/>
    <mergeCell ref="C36:E36"/>
    <mergeCell ref="C37:E37"/>
    <mergeCell ref="C38:E38"/>
    <mergeCell ref="C39:E39"/>
    <mergeCell ref="C26:E26"/>
    <mergeCell ref="C27:E27"/>
    <mergeCell ref="C28:E28"/>
    <mergeCell ref="C29:E29"/>
    <mergeCell ref="C32:E32"/>
    <mergeCell ref="C33:E33"/>
    <mergeCell ref="C47:E47"/>
    <mergeCell ref="C48:E48"/>
    <mergeCell ref="C49:E49"/>
    <mergeCell ref="C50:E50"/>
    <mergeCell ref="C51:E51"/>
    <mergeCell ref="C52:E52"/>
    <mergeCell ref="C40:E40"/>
    <mergeCell ref="C41:E41"/>
    <mergeCell ref="C42:E42"/>
    <mergeCell ref="C44:E44"/>
    <mergeCell ref="C45:E45"/>
    <mergeCell ref="C46:E46"/>
    <mergeCell ref="C59:E59"/>
    <mergeCell ref="C60:E60"/>
    <mergeCell ref="C61:E61"/>
    <mergeCell ref="C62:E62"/>
    <mergeCell ref="C63:E63"/>
    <mergeCell ref="C65:E65"/>
    <mergeCell ref="C53:E53"/>
    <mergeCell ref="C54:E54"/>
    <mergeCell ref="C55:E55"/>
    <mergeCell ref="C56:E56"/>
    <mergeCell ref="C57:E57"/>
    <mergeCell ref="C58:E58"/>
    <mergeCell ref="C72:E72"/>
    <mergeCell ref="C73:E73"/>
    <mergeCell ref="C74:E74"/>
    <mergeCell ref="C75:E75"/>
    <mergeCell ref="C79:E79"/>
    <mergeCell ref="A81:I81"/>
    <mergeCell ref="C66:E66"/>
    <mergeCell ref="C67:E67"/>
    <mergeCell ref="C68:E68"/>
    <mergeCell ref="C69:E69"/>
    <mergeCell ref="C70:E70"/>
    <mergeCell ref="C71:E71"/>
    <mergeCell ref="C88:E88"/>
    <mergeCell ref="C89:E89"/>
    <mergeCell ref="C90:E90"/>
    <mergeCell ref="C91:E91"/>
    <mergeCell ref="C92:E92"/>
    <mergeCell ref="C93:E93"/>
    <mergeCell ref="C82:E82"/>
    <mergeCell ref="C83:E83"/>
    <mergeCell ref="C84:E84"/>
    <mergeCell ref="C85:E85"/>
    <mergeCell ref="C86:E86"/>
    <mergeCell ref="C87:E87"/>
    <mergeCell ref="C102:E102"/>
    <mergeCell ref="C103:E103"/>
    <mergeCell ref="C104:E104"/>
    <mergeCell ref="C105:E105"/>
    <mergeCell ref="C106:E106"/>
    <mergeCell ref="C107:E107"/>
    <mergeCell ref="C94:E94"/>
    <mergeCell ref="C95:E95"/>
    <mergeCell ref="C96:E96"/>
    <mergeCell ref="C100:E100"/>
    <mergeCell ref="C101:E101"/>
    <mergeCell ref="C114:E114"/>
    <mergeCell ref="C115:E115"/>
    <mergeCell ref="C116:E116"/>
    <mergeCell ref="C117:E117"/>
    <mergeCell ref="C118:E118"/>
    <mergeCell ref="C119:E119"/>
    <mergeCell ref="C108:E108"/>
    <mergeCell ref="C109:E109"/>
    <mergeCell ref="C110:E110"/>
    <mergeCell ref="C111:E111"/>
    <mergeCell ref="C112:E112"/>
    <mergeCell ref="A113:H113"/>
    <mergeCell ref="C126:E126"/>
    <mergeCell ref="C127:E127"/>
    <mergeCell ref="C128:E128"/>
    <mergeCell ref="C131:E131"/>
    <mergeCell ref="C132:E132"/>
    <mergeCell ref="C133:E133"/>
    <mergeCell ref="C120:E120"/>
    <mergeCell ref="C121:E121"/>
    <mergeCell ref="C122:E122"/>
    <mergeCell ref="C123:E123"/>
    <mergeCell ref="C124:E124"/>
    <mergeCell ref="C125:E125"/>
    <mergeCell ref="C143:E143"/>
    <mergeCell ref="C144:E144"/>
    <mergeCell ref="C145:E145"/>
    <mergeCell ref="C146:E146"/>
    <mergeCell ref="C147:E147"/>
    <mergeCell ref="C134:E134"/>
    <mergeCell ref="C135:E135"/>
    <mergeCell ref="C136:E136"/>
    <mergeCell ref="C137:E137"/>
    <mergeCell ref="C141:E141"/>
    <mergeCell ref="C142:E142"/>
    <mergeCell ref="C156:E156"/>
    <mergeCell ref="C157:E157"/>
    <mergeCell ref="A158:H158"/>
    <mergeCell ref="C159:E159"/>
    <mergeCell ref="C160:E160"/>
    <mergeCell ref="C161:E161"/>
    <mergeCell ref="C148:E148"/>
    <mergeCell ref="C151:E151"/>
    <mergeCell ref="C152:E152"/>
    <mergeCell ref="C153:E153"/>
    <mergeCell ref="C154:E154"/>
    <mergeCell ref="C155:E155"/>
    <mergeCell ref="C169:E169"/>
    <mergeCell ref="C170:E170"/>
    <mergeCell ref="C171:E171"/>
    <mergeCell ref="C172:E172"/>
    <mergeCell ref="C173:E173"/>
    <mergeCell ref="C174:E174"/>
    <mergeCell ref="A162:H162"/>
    <mergeCell ref="C164:E164"/>
    <mergeCell ref="C165:E165"/>
    <mergeCell ref="C166:E166"/>
    <mergeCell ref="C167:E167"/>
    <mergeCell ref="C168:E168"/>
    <mergeCell ref="C181:E181"/>
    <mergeCell ref="A183:H183"/>
    <mergeCell ref="C184:E184"/>
    <mergeCell ref="C185:E185"/>
    <mergeCell ref="C186:E186"/>
    <mergeCell ref="C187:E187"/>
    <mergeCell ref="C175:E175"/>
    <mergeCell ref="C176:E176"/>
    <mergeCell ref="C177:E177"/>
    <mergeCell ref="C178:E178"/>
    <mergeCell ref="C179:E179"/>
    <mergeCell ref="C180:E180"/>
    <mergeCell ref="C194:E194"/>
    <mergeCell ref="C195:E195"/>
    <mergeCell ref="C196:E196"/>
    <mergeCell ref="C197:E197"/>
    <mergeCell ref="C198:E198"/>
    <mergeCell ref="C199:E199"/>
    <mergeCell ref="C188:E188"/>
    <mergeCell ref="C189:E189"/>
    <mergeCell ref="C190:E190"/>
    <mergeCell ref="C191:E191"/>
    <mergeCell ref="A192:H192"/>
    <mergeCell ref="C193:E193"/>
    <mergeCell ref="C206:E206"/>
    <mergeCell ref="C207:E207"/>
    <mergeCell ref="C208:E208"/>
    <mergeCell ref="C209:E209"/>
    <mergeCell ref="C210:E210"/>
    <mergeCell ref="C211:E211"/>
    <mergeCell ref="C200:E200"/>
    <mergeCell ref="C201:E201"/>
    <mergeCell ref="C202:E202"/>
    <mergeCell ref="A203:H203"/>
    <mergeCell ref="C204:E204"/>
    <mergeCell ref="C205:E205"/>
    <mergeCell ref="C218:E218"/>
    <mergeCell ref="A219:H219"/>
    <mergeCell ref="A220:I220"/>
    <mergeCell ref="A212:H212"/>
    <mergeCell ref="C213:E213"/>
    <mergeCell ref="C214:E214"/>
    <mergeCell ref="C215:E215"/>
    <mergeCell ref="C216:E216"/>
    <mergeCell ref="C217:E217"/>
  </mergeCells>
  <pageMargins left="0" right="0" top="0.5" bottom="0.25" header="0" footer="0"/>
  <pageSetup paperSize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 SERVICEABLE</vt:lpstr>
      <vt:lpstr>2024 UNSERVICEABLE</vt:lpstr>
      <vt:lpstr>'2024 UNSERVICEABLE'!Print_Area</vt:lpstr>
      <vt:lpstr>'2025 SERVICEABLE'!Print_Area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JZONE 12</dc:creator>
  <cp:lastModifiedBy>NLUC CISF4</cp:lastModifiedBy>
  <cp:lastPrinted>2026-03-18T03:45:39Z</cp:lastPrinted>
  <dcterms:created xsi:type="dcterms:W3CDTF">2026-03-18T03:28:25Z</dcterms:created>
  <dcterms:modified xsi:type="dcterms:W3CDTF">2026-07-06T03:16:41Z</dcterms:modified>
</cp:coreProperties>
</file>